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e0457b010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e84348f2b7a4caa"/>
    <x:sheet xmlns:r="http://schemas.openxmlformats.org/officeDocument/2006/relationships" name="Gap Tracker" sheetId="2" r:id="R01a9310ac4064e0c"/>
    <x:sheet xmlns:r="http://schemas.openxmlformats.org/officeDocument/2006/relationships" name="PRD Register" sheetId="3" r:id="Rcef2a92a79b749cd"/>
    <x:sheet xmlns:r="http://schemas.openxmlformats.org/officeDocument/2006/relationships" name="Scoring Guide" sheetId="4" r:id="R3e3170957727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"/>
    <x:numFmt numFmtId="203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475569"/>
      <x:name val="Carlito"/>
    </x:font>
    <x:font>
      <x:b/>
      <x:sz val="10"/>
      <x:color rgb="FFFFFFFF"/>
      <x:name val="Carlito"/>
    </x:font>
    <x:font>
      <x:b/>
      <x:sz val="10"/>
      <x:color rgb="FF334155"/>
      <x:name val="Carlito"/>
    </x:font>
    <x:font>
      <x:b/>
      <x:sz val="18"/>
      <x:color rgb="FF0F172A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203" fontId="5" fillId="3" borderId="0" xfId="0" applyNumberFormat="1" applyFont="1" applyFill="1" applyBorder="1" applyAlignment="1">
      <x:alignment horizontal="center" vertical="center"/>
    </x:xf>
    <x:xf numFmtId="203" fontId="5" fillId="3" borderId="1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 applyAlignment="1">
      <x:alignment horizontal="center" vertical="center"/>
    </x:xf>
    <x:xf numFmtId="201" fontId="5" fillId="3" borderId="1" xfId="0" applyNumberFormat="1" applyFont="1" applyFill="1" applyBorder="1" applyAlignment="1">
      <x:alignment horizontal="center" vertical="center"/>
    </x:xf>
    <x:xf numFmtId="202" fontId="5" fillId="3" borderId="0" xfId="0" applyNumberFormat="1" applyFont="1" applyFill="1" applyBorder="1" applyAlignment="1">
      <x:alignment horizontal="center" vertical="center"/>
    </x:xf>
    <x:xf numFmtId="202" fontId="5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99f90c93b4ea7" /><Relationship Type="http://schemas.openxmlformats.org/officeDocument/2006/relationships/theme" Target="/xl/theme/theme1.xml" Id="Rb13bb81a44e24eda" /><Relationship Type="http://schemas.openxmlformats.org/officeDocument/2006/relationships/sharedStrings" Target="/xl/sharedStrings.xml" Id="Rb449f53b701949c7" /><Relationship Type="http://schemas.openxmlformats.org/officeDocument/2006/relationships/worksheet" Target="/xl/worksheets/sheet1.xml" Id="R0e84348f2b7a4caa" /><Relationship Type="http://schemas.openxmlformats.org/officeDocument/2006/relationships/worksheet" Target="/xl/worksheets/sheet2.xml" Id="R01a9310ac4064e0c" /><Relationship Type="http://schemas.openxmlformats.org/officeDocument/2006/relationships/worksheet" Target="/xl/worksheets/sheet3.xml" Id="Rcef2a92a79b749cd" /><Relationship Type="http://schemas.openxmlformats.org/officeDocument/2006/relationships/worksheet" Target="/xl/worksheets/sheet4.xml" Id="R3e317095772749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c2e4b7ffda4341" /><Relationship Type="http://schemas.openxmlformats.org/officeDocument/2006/relationships/chart" Target="/xl/drawings/charts/chart2.xml" Id="R9662dd172aa142e0" /><Relationship Type="http://schemas.openxmlformats.org/officeDocument/2006/relationships/chart" Target="/xl/drawings/charts/chart3.xml" Id="R7363508c1dc24c3c" /><Relationship Type="http://schemas.openxmlformats.org/officeDocument/2006/relationships/chart" Target="/xl/drawings/charts/chart4.xml" Id="R2e05a1d7f57943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Gap status distribution</a:t>
            </a:r>
          </a:p>
        </c:rich>
      </c:tx>
    </c:title>
    <c:plotArea>
      <c:pieChart>
        <c:ser>
          <c:idx val="0"/>
          <c:order val="0"/>
          <c:tx>
            <c:v>Count</c:v>
          </c:tx>
          <c:cat>
            <c:strRef>
              <c:f>'Dashboard'!$A$15:$A$20</c:f>
              <c:strCache>
                <c:ptCount val="0"/>
              </c:strCache>
            </c:strRef>
          </c:cat>
          <c:val>
            <c:numRef>
              <c:f>'Dashboard'!$B$15:$B$20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gaps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count</c:v>
          </c:tx>
          <c:cat>
            <c:strRef>
              <c:f>'Dashboard'!$D$15:$D$18</c:f>
              <c:strCache>
                <c:ptCount val="0"/>
              </c:strCache>
            </c:strRef>
          </c:cat>
          <c:val>
            <c:numRef>
              <c:f>'Dashboard'!$E$15:$E$18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Progress by visual gap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Progress</c:v>
          </c:tx>
          <c:cat>
            <c:strRef>
              <c:f>'Dashboard'!$G$15:$G$31</c:f>
              <c:strCache>
                <c:ptCount val="0"/>
              </c:strCache>
            </c:strRef>
          </c:cat>
          <c:val>
            <c:numRef>
              <c:f>'Dashboard'!$H$15:$H$31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gap severity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Severity</c:v>
          </c:tx>
          <c:cat>
            <c:strRef>
              <c:f>'Dashboard'!$J$15:$J$31</c:f>
              <c:strCache>
                <c:ptCount val="0"/>
              </c:strCache>
            </c:strRef>
          </c:cat>
          <c:val>
            <c:numRef>
              <c:f>'Dashboard'!$K$15:$K$31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c2e4b7ffda434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62dd172aa142e0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0</xdr:colOff>
      <xdr:row>67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63508c1dc24c3c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16</xdr:col>
      <xdr:colOff>0</xdr:colOff>
      <xdr:row>67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05a1d7f57943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isualGapTracker" displayName="VisualGapTracker" ref="A4:V21" headerRowCount="1" totalsRowCount="0" totalsRowShown="0">
  <x:tableColumns count="22">
    <x:tableColumn id="1" name="Gap ID"/>
    <x:tableColumn id="2" name="Gap / Capability"/>
    <x:tableColumn id="3" name="Unreal baseline"/>
    <x:tableColumn id="4" name="ThreeNative current state"/>
    <x:tableColumn id="5" name="Related PRD(s)"/>
    <x:tableColumn id="6" name="Current status"/>
    <x:tableColumn id="7" name="PRD status"/>
    <x:tableColumn id="8" name="Priority"/>
    <x:tableColumn id="9" name="Gap severity&#10;(1-5)"/>
    <x:tableColumn id="10" name="Visual impact&#10;(1-5)"/>
    <x:tableColumn id="11" name="Effort&#10;(1-5)"/>
    <x:tableColumn id="12" name="Progress"/>
    <x:tableColumn id="13" name="Weight"/>
    <x:tableColumn id="14" name="Weighted progress"/>
    <x:tableColumn id="15" name="Owner"/>
    <x:tableColumn id="16" name="Target milestone"/>
    <x:tableColumn id="17" name="Next action"/>
    <x:tableColumn id="18" name="Blocker / risk"/>
    <x:tableColumn id="19" name="Success metric"/>
    <x:tableColumn id="20" name="Source URL"/>
    <x:tableColumn id="21" name="Last updated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DRegister" displayName="PRDRegister" ref="A3:I22" headerRowCount="1" totalsRowCount="0" totalsRowShown="0">
  <x:tableColumns count="9">
    <x:tableColumn id="1" name="PRD"/>
    <x:tableColumn id="2" name="Title"/>
    <x:tableColumn id="3" name="Repo / observed status"/>
    <x:tableColumn id="4" name="Area"/>
    <x:tableColumn id="5" name="Gap IDs"/>
    <x:tableColumn id="6" name="Observed reality"/>
    <x:tableColumn id="7" name="Depends on"/>
    <x:tableColumn id="8" name="Next check / action"/>
    <x:tableColumn id="9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955b1d511f41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9112143bf845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ea655b36bd4b7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" hidden="0" customWidth="1"/>
    <x:col min="4" max="4" width="18" hidden="0" customWidth="1"/>
    <x:col min="5" max="5" width="10" hidden="0" customWidth="1"/>
    <x:col min="6" max="6" width="3" hidden="0" customWidth="1"/>
    <x:col min="7" max="7" width="30" hidden="0" customWidth="1"/>
    <x:col min="8" max="8" width="12" hidden="0" customWidth="1"/>
    <x:col min="9" max="9" width="3" hidden="0" customWidth="1"/>
    <x:col min="10" max="10" width="30" hidden="0" customWidth="1"/>
    <x:col min="11" max="11" width="12" hidden="0" customWidth="1"/>
    <x:col min="12" max="12" width="3" hidden="0" customWidth="1"/>
    <x:col min="13" max="13" width="18" hidden="0" customWidth="1"/>
    <x:col min="14" max="14" width="10" hidden="0" customWidth="1"/>
    <x:col min="15" max="15" width="3" hidden="0" customWidth="1"/>
    <x:col min="16" max="16" width="3" hidden="0" customWidth="1"/>
  </x:cols>
  <x:sheetData>
    <x:row r="1">
      <x:c r="A1" s="5" t="str">
        <x:v>ThreeNative → Unreal Visual Parity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t="str">
        <x:v>Snapshot</x:v>
      </x:c>
      <x:c r="B2" s="10" t="n">
        <x:v>46297</x:v>
      </x:c>
      <x:c r="D2" s="13" t="str">
        <x:v>Use Gap Tracker as the source of truth. Change progress/status/priority there; this dashboard recalculates from those rows.</x:v>
      </x:c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49" t="str">
        <x:v>Total gaps</x:v>
      </x:c>
      <x:c r="B4" s="49"/>
      <x:c r="D4" s="49" t="str">
        <x:v>Weighted parity progress</x:v>
      </x:c>
      <x:c r="E4" s="49"/>
      <x:c r="G4" s="49" t="str">
        <x:v>Open P0 gaps</x:v>
      </x:c>
      <x:c r="H4" s="49"/>
      <x:c r="J4" s="49" t="str">
        <x:v>Closed gaps</x:v>
      </x:c>
      <x:c r="K4" s="49"/>
      <x:c r="M4" s="49" t="str">
        <x:v>Needs a PRD</x:v>
      </x:c>
      <x:c r="N4" s="49"/>
    </x:row>
    <x:row r="5">
      <x:c r="A5" s="60" t="n">
        <x:f>COUNTA('Gap Tracker'!A5:A21)</x:f>
        <x:v>17</x:v>
      </x:c>
      <x:c r="B5" s="60"/>
      <x:c r="D5" s="62" t="n">
        <x:f>SUM('Gap Tracker'!N5:N21)/SUM('Gap Tracker'!M5:M21)</x:f>
        <x:v>0.26805555555555555</x:v>
      </x:c>
      <x:c r="E5" s="62"/>
      <x:c r="G5" s="60" t="n">
        <x:f>COUNTIFS('Gap Tracker'!H5:H21,"P0",'Gap Tracker'!F5:F21,"&lt;&gt;Closed")</x:f>
        <x:v>5</x:v>
      </x:c>
      <x:c r="H5" s="60"/>
      <x:c r="J5" s="60" t="n">
        <x:f>COUNTIF('Gap Tracker'!F5:F21,"Closed")</x:f>
        <x:v>1</x:v>
      </x:c>
      <x:c r="K5" s="60"/>
      <x:c r="M5" s="60" t="n">
        <x:f>COUNTIF('Gap Tracker'!F5:F21,"Needs PRD")</x:f>
        <x:v>2</x:v>
      </x:c>
      <x:c r="N5" s="60"/>
    </x:row>
    <x:row r="6">
      <x:c r="A6" s="60"/>
      <x:c r="B6" s="60"/>
      <x:c r="D6" s="62"/>
      <x:c r="E6" s="62"/>
      <x:c r="G6" s="60"/>
      <x:c r="H6" s="60"/>
      <x:c r="J6" s="60"/>
      <x:c r="K6" s="60"/>
      <x:c r="M6" s="60"/>
      <x:c r="N6" s="60"/>
    </x:row>
    <x:row r="7">
      <x:c r="A7" s="60"/>
      <x:c r="B7" s="60"/>
      <x:c r="D7" s="62"/>
      <x:c r="E7" s="62"/>
      <x:c r="G7" s="60"/>
      <x:c r="H7" s="60"/>
      <x:c r="J7" s="60"/>
      <x:c r="K7" s="60"/>
      <x:c r="M7" s="60"/>
      <x:c r="N7" s="60"/>
    </x:row>
    <x:row r="9">
      <x:c r="A9" s="49" t="str">
        <x:v>Average gap severity</x:v>
      </x:c>
      <x:c r="B9" s="49" t="str"/>
      <x:c r="C9" s="49" t="str">
        <x:v>High-severity open</x:v>
      </x:c>
      <x:c r="D9" s="49" t="str"/>
      <x:c r="E9" s="49" t="str">
        <x:v>Proposed / not-started PRDs</x:v>
      </x:c>
      <x:c r="F9" s="49" t="str"/>
      <x:c r="G9" s="49" t="str">
        <x:v>P1 open</x:v>
      </x:c>
      <x:c r="H9" s="49" t="str"/>
      <x:c r="I9" s="49" t="str">
        <x:v>Average progress</x:v>
      </x:c>
      <x:c r="J9" s="49" t="str"/>
      <x:c r="K9" s="49" t="str">
        <x:v>Baseline closed</x:v>
      </x:c>
      <x:c r="L9" s="49" t="str"/>
      <x:c r="M9" s="49" t="str">
        <x:v>Known status mismatch</x:v>
      </x:c>
      <x:c r="N9" s="49" t="str"/>
    </x:row>
    <x:row r="10">
      <x:c r="A10" s="64" t="n">
        <x:f>AVERAGE('Gap Tracker'!I5:I21)</x:f>
        <x:v>3.411764705882353</x:v>
      </x:c>
      <x:c r="B10" s="64"/>
      <x:c r="C10" s="60" t="n">
        <x:f>COUNTIFS('Gap Tracker'!I5:I21,"&gt;=4",'Gap Tracker'!F5:F21,"&lt;&gt;Closed")</x:f>
        <x:v>7</x:v>
      </x:c>
      <x:c r="D10" s="60"/>
      <x:c r="E10" s="60" t="n">
        <x:f>COUNTIF('Gap Tracker'!G5:G21,"*PROPOSED*")+COUNTIF('Gap Tracker'!G5:G21,"*NOT STARTED*")</x:f>
        <x:v>0</x:v>
      </x:c>
      <x:c r="F10" s="60"/>
      <x:c r="G10" s="60" t="n">
        <x:f>COUNTIFS('Gap Tracker'!H5:H21,"P1",'Gap Tracker'!F5:F21,"&lt;&gt;Closed")</x:f>
        <x:v>8</x:v>
      </x:c>
      <x:c r="H10" s="60"/>
      <x:c r="I10" s="62" t="n">
        <x:f>AVERAGE('Gap Tracker'!L5:L21)</x:f>
        <x:v>0.3411764705882353</x:v>
      </x:c>
      <x:c r="J10" s="62"/>
      <x:c r="K10" s="60" t="n">
        <x:f>COUNTIFS('Gap Tracker'!F5:F21,"Closed",'Gap Tracker'!G5:G21,"DONE")</x:f>
        <x:v>1</x:v>
      </x:c>
      <x:c r="L10" s="60"/>
      <x:c r="M10" s="60" t="n">
        <x:f>COUNTIF('PRD Register'!C4:C30,"*FILE SAYS PROPOSED*")</x:f>
        <x:v>0</x:v>
      </x:c>
      <x:c r="N10" s="60"/>
    </x:row>
    <x:row r="11">
      <x:c r="A11" s="64"/>
      <x:c r="B11" s="64"/>
      <x:c r="C11" s="60"/>
      <x:c r="D11" s="60"/>
      <x:c r="E11" s="60"/>
      <x:c r="F11" s="60"/>
      <x:c r="G11" s="60"/>
      <x:c r="H11" s="60"/>
      <x:c r="I11" s="62"/>
      <x:c r="J11" s="62"/>
      <x:c r="K11" s="60"/>
      <x:c r="L11" s="60"/>
      <x:c r="M11" s="60"/>
      <x:c r="N11" s="60"/>
    </x:row>
    <x:row r="14">
      <x:c r="A14" s="20" t="str">
        <x:v>Status</x:v>
      </x:c>
      <x:c r="B14" s="20" t="str">
        <x:v>Count</x:v>
      </x:c>
      <x:c r="D14" s="20" t="str">
        <x:v>Priority</x:v>
      </x:c>
      <x:c r="E14" s="20" t="str">
        <x:v>Open count</x:v>
      </x:c>
      <x:c r="G14" s="20" t="str">
        <x:v>Gap</x:v>
      </x:c>
      <x:c r="H14" s="20" t="str">
        <x:v>Progress</x:v>
      </x:c>
      <x:c r="J14" s="20" t="str">
        <x:v>Gap</x:v>
      </x:c>
      <x:c r="K14" s="20" t="str">
        <x:v>Severity</x:v>
      </x:c>
    </x:row>
    <x:row r="15">
      <x:c r="A15" t="str">
        <x:v>Closed</x:v>
      </x:c>
      <x:c r="B15" t="n">
        <x:f>COUNTIF('Gap Tracker'!F5:F21,A15)</x:f>
        <x:v>1</x:v>
      </x:c>
      <x:c r="D15" t="str">
        <x:v>P0</x:v>
      </x:c>
      <x:c r="E15" t="n">
        <x:f>COUNTIFS('Gap Tracker'!H5:H21,D15,'Gap Tracker'!F5:F21,"&lt;&gt;Closed")</x:f>
        <x:v>5</x:v>
      </x:c>
      <x:c r="G15" t="str">
        <x:f>'Gap Tracker'!B5</x:f>
        <x:v>Off-screen dynamic GI / Lumen-class indirect lighting</x:v>
      </x:c>
      <x:c r="H15" s="26" t="n">
        <x:f>'Gap Tracker'!L5</x:f>
        <x:v>0.1</x:v>
      </x:c>
      <x:c r="J15" t="str">
        <x:f>'Gap Tracker'!B5</x:f>
        <x:v>Off-screen dynamic GI / Lumen-class indirect lighting</x:v>
      </x:c>
      <x:c r="K15" t="n">
        <x:f>'Gap Tracker'!I5</x:f>
        <x:v>5</x:v>
      </x:c>
    </x:row>
    <x:row r="16">
      <x:c r="A16" t="str">
        <x:v>Partial</x:v>
      </x:c>
      <x:c r="B16" t="n">
        <x:f>COUNTIF('Gap Tracker'!F5:F21,A16)</x:f>
        <x:v>6</x:v>
      </x:c>
      <x:c r="D16" t="str">
        <x:v>P1</x:v>
      </x:c>
      <x:c r="E16" t="n">
        <x:f>COUNTIFS('Gap Tracker'!H5:H21,D16,'Gap Tracker'!F5:F21,"&lt;&gt;Closed")</x:f>
        <x:v>8</x:v>
      </x:c>
      <x:c r="G16" t="str">
        <x:f>'Gap Tracker'!B6</x:f>
        <x:v>Screen-space GI as a shipped default</x:v>
      </x:c>
      <x:c r="H16" s="26" t="n">
        <x:f>'Gap Tracker'!L6</x:f>
        <x:v>0.25</x:v>
      </x:c>
      <x:c r="J16" t="str">
        <x:f>'Gap Tracker'!B6</x:f>
        <x:v>Screen-space GI as a shipped default</x:v>
      </x:c>
      <x:c r="K16" t="n">
        <x:f>'Gap Tracker'!I6</x:f>
        <x:v>4</x:v>
      </x:c>
    </x:row>
    <x:row r="17">
      <x:c r="A17" t="str">
        <x:v>Proposed</x:v>
      </x:c>
      <x:c r="B17" t="n">
        <x:f>COUNTIF('Gap Tracker'!F5:F21,A17)</x:f>
        <x:v>3</x:v>
      </x:c>
      <x:c r="D17" t="str">
        <x:v>P2</x:v>
      </x:c>
      <x:c r="E17" t="n">
        <x:f>COUNTIFS('Gap Tracker'!H5:H21,D17,'Gap Tracker'!F5:F21,"&lt;&gt;Closed")</x:f>
        <x:v>3</x:v>
      </x:c>
      <x:c r="G17" t="str">
        <x:f>'Gap Tracker'!B7</x:f>
        <x:v>TSR-like temporal reconstruction / upscaling</x:v>
      </x:c>
      <x:c r="H17" s="26" t="n">
        <x:f>'Gap Tracker'!L7</x:f>
        <x:v>0.45</x:v>
      </x:c>
      <x:c r="J17" t="str">
        <x:f>'Gap Tracker'!B7</x:f>
        <x:v>TSR-like temporal reconstruction / upscaling</x:v>
      </x:c>
      <x:c r="K17" t="n">
        <x:f>'Gap Tracker'!I7</x:f>
        <x:v>4</x:v>
      </x:c>
    </x:row>
    <x:row r="18">
      <x:c r="A18" t="str">
        <x:v>Not Started</x:v>
      </x:c>
      <x:c r="B18" t="n">
        <x:f>COUNTIF('Gap Tracker'!F5:F21,A18)</x:f>
        <x:v>5</x:v>
      </x:c>
      <x:c r="D18" t="str">
        <x:v>P3</x:v>
      </x:c>
      <x:c r="E18" t="n">
        <x:f>COUNTIFS('Gap Tracker'!H5:H21,D18,'Gap Tracker'!F5:F21,"&lt;&gt;Closed")</x:f>
        <x:v>0</x:v>
      </x:c>
      <x:c r="G18" t="str">
        <x:f>'Gap Tracker'!B8</x:f>
        <x:v>Auto exposure / eye adaptation / camera exposure</x:v>
      </x:c>
      <x:c r="H18" s="26" t="n">
        <x:f>'Gap Tracker'!L8</x:f>
        <x:v>0</x:v>
      </x:c>
      <x:c r="J18" t="str">
        <x:f>'Gap Tracker'!B8</x:f>
        <x:v>Auto exposure / eye adaptation / camera exposure</x:v>
      </x:c>
      <x:c r="K18" t="n">
        <x:f>'Gap Tracker'!I8</x:f>
        <x:v>5</x:v>
      </x:c>
    </x:row>
    <x:row r="19">
      <x:c r="A19" t="str">
        <x:v>Needs PRD</x:v>
      </x:c>
      <x:c r="B19" t="n">
        <x:f>COUNTIF('Gap Tracker'!F5:F21,A19)</x:f>
        <x:v>2</x:v>
      </x:c>
      <x:c r="G19" t="str">
        <x:f>'Gap Tracker'!B9</x:f>
        <x:v>Objective tone / visual-quality regression gates</x:v>
      </x:c>
      <x:c r="H19" s="26" t="n">
        <x:f>'Gap Tracker'!L9</x:f>
        <x:v>0</x:v>
      </x:c>
      <x:c r="J19" t="str">
        <x:f>'Gap Tracker'!B9</x:f>
        <x:v>Objective tone / visual-quality regression gates</x:v>
      </x:c>
      <x:c r="K19" t="n">
        <x:f>'Gap Tracker'!I9</x:f>
        <x:v>4</x:v>
      </x:c>
    </x:row>
    <x:row r="20">
      <x:c r="A20" t="str">
        <x:v>Blocked</x:v>
      </x:c>
      <x:c r="B20" t="n">
        <x:f>COUNTIF('Gap Tracker'!F5:F21,A20)</x:f>
        <x:v>0</x:v>
      </x:c>
      <x:c r="G20" t="str">
        <x:f>'Gap Tracker'!B10</x:f>
        <x:v>Dynamic reflections with off-screen fallback</x:v>
      </x:c>
      <x:c r="H20" s="26" t="n">
        <x:f>'Gap Tracker'!L10</x:f>
        <x:v>0.35</x:v>
      </x:c>
      <x:c r="J20" t="str">
        <x:f>'Gap Tracker'!B10</x:f>
        <x:v>Dynamic reflections with off-screen fallback</x:v>
      </x:c>
      <x:c r="K20" t="n">
        <x:f>'Gap Tracker'!I10</x:f>
        <x:v>4</x:v>
      </x:c>
    </x:row>
    <x:row r="21">
      <x:c r="G21" t="str">
        <x:f>'Gap Tracker'!B11</x:f>
        <x:v>Virtual shadows: sparse page scaling and local-light boundary</x:v>
      </x:c>
      <x:c r="H21" s="26" t="n">
        <x:f>'Gap Tracker'!L11</x:f>
        <x:v>0.65</x:v>
      </x:c>
      <x:c r="J21" t="str">
        <x:f>'Gap Tracker'!B11</x:f>
        <x:v>Virtual shadows: sparse page scaling and local-light boundary</x:v>
      </x:c>
      <x:c r="K21" t="n">
        <x:f>'Gap Tracker'!I11</x:f>
        <x:v>3</x:v>
      </x:c>
    </x:row>
    <x:row r="22">
      <x:c r="G22" t="str">
        <x:f>'Gap Tracker'!B12</x:f>
        <x:v>Contact occlusion / small-scale grounding</x:v>
      </x:c>
      <x:c r="H22" s="26" t="n">
        <x:f>'Gap Tracker'!L12</x:f>
        <x:v>0.35</x:v>
      </x:c>
      <x:c r="J22" t="str">
        <x:f>'Gap Tracker'!B12</x:f>
        <x:v>Contact occlusion / small-scale grounding</x:v>
      </x:c>
      <x:c r="K22" t="n">
        <x:f>'Gap Tracker'!I12</x:f>
        <x:v>3</x:v>
      </x:c>
    </x:row>
    <x:row r="23">
      <x:c r="G23" t="str">
        <x:f>'Gap Tracker'!B13</x:f>
        <x:v>Backlight grazing response and dark-environment fill</x:v>
      </x:c>
      <x:c r="H23" s="26" t="n">
        <x:f>'Gap Tracker'!L13</x:f>
        <x:v>0.35</x:v>
      </x:c>
      <x:c r="J23" t="str">
        <x:f>'Gap Tracker'!B13</x:f>
        <x:v>Backlight grazing response and dark-environment fill</x:v>
      </x:c>
      <x:c r="K23" t="n">
        <x:f>'Gap Tracker'!I13</x:f>
        <x:v>3</x:v>
      </x:c>
    </x:row>
    <x:row r="24">
      <x:c r="G24" t="str">
        <x:f>'Gap Tracker'!B14</x:f>
        <x:v>Atmosphere and aerial perspective parity</x:v>
      </x:c>
      <x:c r="H24" s="26" t="n">
        <x:f>'Gap Tracker'!L14</x:f>
        <x:v>0.7</x:v>
      </x:c>
      <x:c r="J24" t="str">
        <x:f>'Gap Tracker'!B14</x:f>
        <x:v>Atmosphere and aerial perspective parity</x:v>
      </x:c>
      <x:c r="K24" t="n">
        <x:f>'Gap Tracker'!I14</x:f>
        <x:v>3</x:v>
      </x:c>
    </x:row>
    <x:row r="25">
      <x:c r="G25" t="str">
        <x:f>'Gap Tracker'!B15</x:f>
        <x:v>Volumetric fog + cloud integration</x:v>
      </x:c>
      <x:c r="H25" s="26" t="n">
        <x:f>'Gap Tracker'!L15</x:f>
        <x:v>0.2</x:v>
      </x:c>
      <x:c r="J25" t="str">
        <x:f>'Gap Tracker'!B15</x:f>
        <x:v>Volumetric fog + cloud integration</x:v>
      </x:c>
      <x:c r="K25" t="n">
        <x:f>'Gap Tracker'!I15</x:f>
        <x:v>4</x:v>
      </x:c>
    </x:row>
    <x:row r="26">
      <x:c r="G26" t="str">
        <x:f>'Gap Tracker'!B16</x:f>
        <x:v>HDR emissives and sub-pixel light cues</x:v>
      </x:c>
      <x:c r="H26" s="26" t="n">
        <x:f>'Gap Tracker'!L16</x:f>
        <x:v>0.1</x:v>
      </x:c>
      <x:c r="J26" t="str">
        <x:f>'Gap Tracker'!B16</x:f>
        <x:v>HDR emissives and sub-pixel light cues</x:v>
      </x:c>
      <x:c r="K26" t="n">
        <x:f>'Gap Tracker'!I16</x:f>
        <x:v>3</x:v>
      </x:c>
    </x:row>
    <x:row r="27">
      <x:c r="G27" t="str">
        <x:f>'Gap Tracker'!B17</x:f>
        <x:v>Advanced material/shading breadth</x:v>
      </x:c>
      <x:c r="H27" s="26" t="n">
        <x:f>'Gap Tracker'!L17</x:f>
        <x:v>0.4</x:v>
      </x:c>
      <x:c r="J27" t="str">
        <x:f>'Gap Tracker'!B17</x:f>
        <x:v>Advanced material/shading breadth</x:v>
      </x:c>
      <x:c r="K27" t="n">
        <x:f>'Gap Tracker'!I17</x:f>
        <x:v>3</x:v>
      </x:c>
    </x:row>
    <x:row r="28">
      <x:c r="G28" t="str">
        <x:f>'Gap Tracker'!B18</x:f>
        <x:v>Virtual geometry / Nanite-like scalability</x:v>
      </x:c>
      <x:c r="H28" s="26" t="n">
        <x:f>'Gap Tracker'!L18</x:f>
        <x:v>0.8</x:v>
      </x:c>
      <x:c r="J28" t="str">
        <x:f>'Gap Tracker'!B18</x:f>
        <x:v>Virtual geometry / Nanite-like scalability</x:v>
      </x:c>
      <x:c r="K28" t="n">
        <x:f>'Gap Tracker'!I18</x:f>
        <x:v>3</x:v>
      </x:c>
    </x:row>
    <x:row r="29">
      <x:c r="G29" t="str">
        <x:f>'Gap Tracker'!B19</x:f>
        <x:v>GPU-driven culling and indirect submission</x:v>
      </x:c>
      <x:c r="H29" s="26" t="n">
        <x:f>'Gap Tracker'!L19</x:f>
        <x:v>0</x:v>
      </x:c>
      <x:c r="J29" t="str">
        <x:f>'Gap Tracker'!B19</x:f>
        <x:v>GPU-driven culling and indirect submission</x:v>
      </x:c>
      <x:c r="K29" t="n">
        <x:f>'Gap Tracker'!I19</x:f>
        <x:v>3</x:v>
      </x:c>
    </x:row>
    <x:row r="30">
      <x:c r="G30" t="str">
        <x:f>'Gap Tracker'!B20</x:f>
        <x:v>Projected-size culling as an engine default</x:v>
      </x:c>
      <x:c r="H30" s="26" t="n">
        <x:f>'Gap Tracker'!L20</x:f>
        <x:v>0.1</x:v>
      </x:c>
      <x:c r="J30" t="str">
        <x:f>'Gap Tracker'!B20</x:f>
        <x:v>Projected-size culling as an engine default</x:v>
      </x:c>
      <x:c r="K30" t="n">
        <x:f>'Gap Tracker'!I20</x:f>
        <x:v>3</x:v>
      </x:c>
    </x:row>
    <x:row r="31">
      <x:c r="G31" t="str">
        <x:f>'Gap Tracker'!B21</x:f>
        <x:v>Default first-frame presentation baseline</x:v>
      </x:c>
      <x:c r="H31" s="26" t="n">
        <x:f>'Gap Tracker'!L21</x:f>
        <x:v>1</x:v>
      </x:c>
      <x:c r="J31" t="str">
        <x:f>'Gap Tracker'!B21</x:f>
        <x:v>Default first-frame presentation baseline</x:v>
      </x:c>
      <x:c r="K31" t="n">
        <x:f>'Gap Tracker'!I21</x:f>
        <x:v>1</x:v>
      </x:c>
    </x:row>
    <x:row r="69">
      <x:c r="A69" s="69" t="str">
        <x:v>Suggested execution order (editable roadmap)</x:v>
      </x:c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</x:row>
    <x:row r="70">
      <x:c r="A70" s="76" t="str">
        <x:v>Protect PRD-470 baseline → land tone gate (PRD-341) → auto exposure (PRD-339) → ship SSGI (PRD-267) → execute world-space/off-screen GI (PRD-268 and/or PRD-245) → temporal reconstruction (PRD-455) → dynamic reflection fallback → shadow paging only where PRD-457 measurements win → volumetric/material breadth.</x:v>
      </x:c>
      <x:c r="B70" s="76"/>
      <x:c r="C70" s="76"/>
      <x:c r="D70" s="76"/>
      <x:c r="E70" s="76"/>
      <x:c r="F70" s="76"/>
      <x:c r="G70" s="76"/>
      <x:c r="H70" s="76"/>
      <x:c r="I70" s="76"/>
      <x:c r="J70" s="76"/>
      <x:c r="K70" s="76"/>
      <x:c r="L70" s="76"/>
      <x:c r="M70" s="76"/>
      <x:c r="N70" s="76"/>
      <x:c r="O70" s="76"/>
      <x:c r="P70" s="76"/>
    </x:row>
    <x:row r="7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  <x:c r="K71" s="76"/>
      <x:c r="L71" s="76"/>
      <x:c r="M71" s="76"/>
      <x:c r="N71" s="76"/>
      <x:c r="O71" s="76"/>
      <x:c r="P71" s="76"/>
    </x:row>
    <x:row r="72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  <x:c r="K72" s="76"/>
      <x:c r="L72" s="76"/>
      <x:c r="M72" s="76"/>
      <x:c r="N72" s="76"/>
      <x:c r="O72" s="76"/>
      <x:c r="P72" s="76"/>
    </x:row>
    <x:row r="73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6"/>
      <x:c r="P73" s="76"/>
    </x:row>
  </x:sheetData>
  <x:mergeCells>
    <x:mergeCell ref="A1:P1"/>
    <x:mergeCell ref="D2:P2"/>
    <x:mergeCell ref="A4:B4"/>
    <x:mergeCell ref="A5:B7"/>
    <x:mergeCell ref="D4:E4"/>
    <x:mergeCell ref="D5:E7"/>
    <x:mergeCell ref="G4:H4"/>
    <x:mergeCell ref="G5:H7"/>
    <x:mergeCell ref="J4:K4"/>
    <x:mergeCell ref="J5:K7"/>
    <x:mergeCell ref="M4:N4"/>
    <x:mergeCell ref="M5:N7"/>
    <x:mergeCell ref="A9:B9"/>
    <x:mergeCell ref="C9:D9"/>
    <x:mergeCell ref="E9:F9"/>
    <x:mergeCell ref="G9:H9"/>
    <x:mergeCell ref="I9:J9"/>
    <x:mergeCell ref="K9:L9"/>
    <x:mergeCell ref="M9:N9"/>
    <x:mergeCell ref="A10:B11"/>
    <x:mergeCell ref="C10:D11"/>
    <x:mergeCell ref="E10:F11"/>
    <x:mergeCell ref="G10:H11"/>
    <x:mergeCell ref="I10:J11"/>
    <x:mergeCell ref="K10:L11"/>
    <x:mergeCell ref="M10:N11"/>
    <x:mergeCell ref="A69:P69"/>
    <x:mergeCell ref="A70:P73"/>
  </x:mergeCells>
  <x:pageMargins left="0.7" right="0.7" top="0.75" bottom="0.75" header="0.3" footer="0.3"/>
  <x:drawing xmlns:r="http://schemas.openxmlformats.org/officeDocument/2006/relationships" r:id="Rf2955b1d511f4102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42" hidden="0" customWidth="1"/>
    <x:col min="4" max="4" width="48" hidden="0" customWidth="1"/>
    <x:col min="5" max="5" width="24" hidden="0" customWidth="1"/>
    <x:col min="6" max="6" width="16" hidden="0" customWidth="1"/>
    <x:col min="7" max="7" width="28" hidden="0" customWidth="1"/>
    <x:col min="8" max="8" width="9" hidden="0" customWidth="1"/>
    <x:col min="9" max="9" width="12" hidden="0" customWidth="1"/>
    <x:col min="10" max="10" width="12" hidden="0" customWidth="1"/>
    <x:col min="11" max="11" width="9" hidden="0" customWidth="1"/>
    <x:col min="12" max="12" width="11" hidden="0" customWidth="1"/>
    <x:col min="13" max="13" width="10" hidden="0" customWidth="1"/>
    <x:col min="14" max="14" width="14" hidden="0" customWidth="1"/>
    <x:col min="15" max="15" width="15" hidden="0" customWidth="1"/>
    <x:col min="16" max="16" width="18" hidden="0" customWidth="1"/>
    <x:col min="17" max="17" width="44" hidden="0" customWidth="1"/>
    <x:col min="18" max="18" width="42" hidden="0" customWidth="1"/>
    <x:col min="19" max="19" width="44" hidden="0" customWidth="1"/>
    <x:col min="20" max="20" width="52" hidden="0" customWidth="1"/>
    <x:col min="21" max="21" width="13" hidden="0" customWidth="1"/>
    <x:col min="22" max="22" width="38" hidden="0" customWidth="1"/>
  </x:cols>
  <x:sheetData>
    <x:row r="1">
      <x:c r="A1" s="5" t="str">
        <x:v>ThreeNative ↔ Unreal Visual Gap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>
      <x:c r="A2" t="str">
        <x:v>Snapshot</x:v>
      </x:c>
      <x:c r="B2" s="10" t="n">
        <x:v>46297</x:v>
      </x:c>
      <x:c r="D2" s="13" t="str">
        <x:v>Edit Priority / Status / Progress / Owner / Target / Next Action as the roadmap changes. Dashboard formulas and charts follow these rows.</x:v>
      </x:c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4" ht="34" customHeight="1">
      <x:c r="A4" s="20" t="str">
        <x:v>Gap ID</x:v>
      </x:c>
      <x:c r="B4" s="20" t="str">
        <x:v>Gap / Capability</x:v>
      </x:c>
      <x:c r="C4" s="20" t="str">
        <x:v>Unreal baseline</x:v>
      </x:c>
      <x:c r="D4" s="20" t="str">
        <x:v>ThreeNative current state</x:v>
      </x:c>
      <x:c r="E4" s="20" t="str">
        <x:v>Related PRD(s)</x:v>
      </x:c>
      <x:c r="F4" s="20" t="str">
        <x:v>Current status</x:v>
      </x:c>
      <x:c r="G4" s="20" t="str">
        <x:v>PRD status</x:v>
      </x:c>
      <x:c r="H4" s="20" t="str">
        <x:v>Priority</x:v>
      </x:c>
      <x:c r="I4" s="20" t="str">
        <x:v>Gap severity
(1-5)</x:v>
      </x:c>
      <x:c r="J4" s="20" t="str">
        <x:v>Visual impact
(1-5)</x:v>
      </x:c>
      <x:c r="K4" s="20" t="str">
        <x:v>Effort
(1-5)</x:v>
      </x:c>
      <x:c r="L4" s="20" t="str">
        <x:v>Progress</x:v>
      </x:c>
      <x:c r="M4" s="20" t="str">
        <x:v>Weight</x:v>
      </x:c>
      <x:c r="N4" s="20" t="str">
        <x:v>Weighted progress</x:v>
      </x:c>
      <x:c r="O4" s="20" t="str">
        <x:v>Owner</x:v>
      </x:c>
      <x:c r="P4" s="20" t="str">
        <x:v>Target milestone</x:v>
      </x:c>
      <x:c r="Q4" s="20" t="str">
        <x:v>Next action</x:v>
      </x:c>
      <x:c r="R4" s="20" t="str">
        <x:v>Blocker / risk</x:v>
      </x:c>
      <x:c r="S4" s="20" t="str">
        <x:v>Success metric</x:v>
      </x:c>
      <x:c r="T4" s="20" t="str">
        <x:v>Source URL</x:v>
      </x:c>
      <x:c r="U4" s="20" t="str">
        <x:v>Last updated</x:v>
      </x:c>
      <x:c r="V4" s="20" t="str">
        <x:v>Notes</x:v>
      </x:c>
    </x:row>
    <x:row r="5" ht="62" customHeight="1">
      <x:c r="A5" s="38" t="str">
        <x:v>G01</x:v>
      </x:c>
      <x:c r="B5" s="38" t="str">
        <x:v>Off-screen dynamic GI / Lumen-class indirect lighting</x:v>
      </x:c>
      <x:c r="C5" s="38" t="str">
        <x:v>Lumen: dynamic diffuse GI with off-screen contribution, color bleeding, indirect shadowing</x:v>
      </x:c>
      <x:c r="D5" s="38" t="str">
        <x:v>No production off-screen dynamic GI yet. GPU scene/BVH foundations and surfel/probe designs exist.</x:v>
      </x:c>
      <x:c r="E5" s="38" t="str">
        <x:v>PRD-245; PRD-268</x:v>
      </x:c>
      <x:c r="F5" s="38" t="str">
        <x:v>Proposed</x:v>
      </x:c>
      <x:c r="G5" s="38" t="str">
        <x:v>PROPOSED</x:v>
      </x:c>
      <x:c r="H5" s="38" t="str">
        <x:v>P0</x:v>
      </x:c>
      <x:c r="I5" s="38" t="n">
        <x:v>5</x:v>
      </x:c>
      <x:c r="J5" s="38" t="n">
        <x:v>5</x:v>
      </x:c>
      <x:c r="K5" s="38" t="n">
        <x:v>5</x:v>
      </x:c>
      <x:c r="L5" s="39" t="n">
        <x:v>0.1</x:v>
      </x:c>
      <x:c r="M5" s="38" t="n">
        <x:f>IF(H5="P0",4,IF(H5="P1",3,IF(H5="P2",2,1)))*I5*J5</x:f>
        <x:v>100</x:v>
      </x:c>
      <x:c r="N5" s="40" t="n">
        <x:f>M5*L5</x:f>
        <x:v>10</x:v>
      </x:c>
      <x:c r="O5" s="38" t="str">
        <x:v>Unassigned</x:v>
      </x:c>
      <x:c r="P5" s="38" t="str">
        <x:v>AAA Lighting</x:v>
      </x:c>
      <x:c r="Q5" s="38" t="str">
        <x:v>Choose the primary world-space GI path (probe volume vs surfel GI), prototype on a representative interior, then measure.</x:v>
      </x:c>
      <x:c r="R5" s="38" t="str">
        <x:v>Highest technical risk; must work on WebGPU/native and remain stable under motion.</x:v>
      </x:c>
      <x:c r="S5" s="38" t="str">
        <x:v>Off-screen bounce remains stable when camera pans; measurable color bleed; native parity; acceptable GPU p95.</x:v>
      </x:c>
      <x:c r="T5" s="38" t="str">
        <x:v>https://github.com/ThreeNativeHQ/threenative/blob/main/docs/PRDs/lighting/PRD-268-light-that-comes-from-off-screen.md</x:v>
      </x:c>
      <x:c r="U5" s="41" t="n">
        <x:v>46297</x:v>
      </x:c>
      <x:c r="V5" s="38" t="str">
        <x:v>This is the largest remaining visual gap.</x:v>
      </x:c>
    </x:row>
    <x:row r="6" ht="62" customHeight="1">
      <x:c r="A6" s="38" t="str">
        <x:v>G02</x:v>
      </x:c>
      <x:c r="B6" s="38" t="str">
        <x:v>Screen-space GI as a shipped default</x:v>
      </x:c>
      <x:c r="C6" s="38" t="str">
        <x:v>Lumen supplements world-space GI; high-quality bounce is present without per-game wiring.</x:v>
      </x:c>
      <x:c r="D6" s="38" t="str">
        <x:v>Three.js TSL SSGI exists and has been prototyped, but PRD-267 is not shipped as a template default.</x:v>
      </x:c>
      <x:c r="E6" s="38" t="str">
        <x:v>PRD-267; PRD-266</x:v>
      </x:c>
      <x:c r="F6" s="38" t="str">
        <x:v>Proposed</x:v>
      </x:c>
      <x:c r="G6" s="38" t="str">
        <x:v>PROPOSED</x:v>
      </x:c>
      <x:c r="H6" s="38" t="str">
        <x:v>P0</x:v>
      </x:c>
      <x:c r="I6" s="38" t="n">
        <x:v>4</x:v>
      </x:c>
      <x:c r="J6" s="38" t="n">
        <x:v>5</x:v>
      </x:c>
      <x:c r="K6" s="38" t="n">
        <x:v>3</x:v>
      </x:c>
      <x:c r="L6" s="39" t="n">
        <x:v>0.25</x:v>
      </x:c>
      <x:c r="M6" s="38" t="n">
        <x:f>IF(H6="P0",4,IF(H6="P1",3,IF(H6="P2",2,1)))*I6*J6</x:f>
        <x:v>80</x:v>
      </x:c>
      <x:c r="N6" s="40" t="n">
        <x:f>M6*L6</x:f>
        <x:v>20</x:v>
      </x:c>
      <x:c r="O6" s="38" t="str">
        <x:v>Unassigned</x:v>
      </x:c>
      <x:c r="P6" s="38" t="str">
        <x:v>AAA Lighting</x:v>
      </x:c>
      <x:c r="Q6" s="38" t="str">
        <x:v>Execute PRD-267 and tune SSGI + denoiser in generated template render source.</x:v>
      </x:c>
      <x:c r="R6" s="38" t="str">
        <x:v>Screen-space blind spots and temporal noise; must degrade cleanly by tier.</x:v>
      </x:c>
      <x:c r="S6" s="38" t="str">
        <x:v>Template scene shows measurable bounce/color bleed without hand wiring; stable on browser/native.</x:v>
      </x:c>
      <x:c r="T6" s="38" t="str">
        <x:v>https://github.com/ThreeNativeHQ/threenative/blob/main/docs/PRDs/useful-defaults/PRD-267-screen-space-gi-ships-in-the-templates.md</x:v>
      </x:c>
      <x:c r="U6" s="41" t="n">
        <x:v>46297</x:v>
      </x:c>
      <x:c r="V6" s="38" t="str">
        <x:v>Useful near-term win, but not a substitute for G01.</x:v>
      </x:c>
    </x:row>
    <x:row r="7" ht="62" customHeight="1">
      <x:c r="A7" s="38" t="str">
        <x:v>G03</x:v>
      </x:c>
      <x:c r="B7" s="38" t="str">
        <x:v>TSR-like temporal reconstruction / upscaling</x:v>
      </x:c>
      <x:c r="C7" s="38" t="str">
        <x:v>TSR reconstructs a stable display-resolution frame from lower internal resolution using history, depth and motion.</x:v>
      </x:c>
      <x:c r="D7" s="38" t="str">
        <x:v>TAA/TRAA, velocity machinery and dynamic resolution exist; end-to-end low-res-to-display temporal reconstruction is not shipped.</x:v>
      </x:c>
      <x:c r="E7" s="38" t="str">
        <x:v>PRD-455; PRD-269</x:v>
      </x:c>
      <x:c r="F7" s="38" t="str">
        <x:v>Partial</x:v>
      </x:c>
      <x:c r="G7" s="38" t="str">
        <x:v>PROPOSED / prerequisite landed</x:v>
      </x:c>
      <x:c r="H7" s="38" t="str">
        <x:v>P0</x:v>
      </x:c>
      <x:c r="I7" s="38" t="n">
        <x:v>4</x:v>
      </x:c>
      <x:c r="J7" s="38" t="n">
        <x:v>5</x:v>
      </x:c>
      <x:c r="K7" s="38" t="n">
        <x:v>4</x:v>
      </x:c>
      <x:c r="L7" s="39" t="n">
        <x:v>0.45</x:v>
      </x:c>
      <x:c r="M7" s="38" t="n">
        <x:f>IF(H7="P0",4,IF(H7="P1",3,IF(H7="P2",2,1)))*I7*J7</x:f>
        <x:v>80</x:v>
      </x:c>
      <x:c r="N7" s="40" t="n">
        <x:f>M7*L7</x:f>
        <x:v>36</x:v>
      </x:c>
      <x:c r="O7" s="38" t="str">
        <x:v>Unassigned</x:v>
      </x:c>
      <x:c r="P7" s="38" t="str">
        <x:v>Temporal Pipeline</x:v>
      </x:c>
      <x:c r="Q7" s="38" t="str">
        <x:v>Execute PRD-455 Phase 1: history correctness, resolution transitions, disocclusion rejection.</x:v>
      </x:c>
      <x:c r="R7" s="38" t="str">
        <x:v>Ghosting, history corruption and reconstruction cost can erase the performance win.</x:v>
      </x:c>
      <x:c r="S7" s="38" t="str">
        <x:v>Temporal arm beats spatial upscale on stability and saves total GPU p95 on a GPU-bound representative scene.</x:v>
      </x:c>
      <x:c r="T7" s="38" t="str">
        <x:v>https://github.com/ThreeNativeHQ/threenative/blob/main/docs/PRDs/unreal-like-features/PRD-455-temporal-reconstruction-from-dynamic-resolution.md</x:v>
      </x:c>
      <x:c r="U7" s="41" t="n">
        <x:v>46297</x:v>
      </x:c>
      <x:c r="V7" s="38" t="str">
        <x:v>PRD-455 states the PRD-269 motion-history implementation landed even though PRD-269 markdown is stale.</x:v>
      </x:c>
    </x:row>
    <x:row r="8" ht="62" customHeight="1">
      <x:c r="A8" s="38" t="str">
        <x:v>G04</x:v>
      </x:c>
      <x:c r="B8" s="38" t="str">
        <x:v>Auto exposure / eye adaptation / camera exposure</x:v>
      </x:c>
      <x:c r="C8" s="38" t="str">
        <x:v>Histogram-based eye adaptation and physically coherent exposure across very different scene brightness.</x:v>
      </x:c>
      <x:c r="D8" s="38" t="inlineStr">
        <x:is>
          <x:t>Authored auto exposure and eye adaptation are implemented on PR #397 (prd:100%, open, awaiting merge); develop still ships fixed exposure. Tone measurement (PRD-341) is done.</x:t>
        </x:is>
      </x:c>
      <x:c r="E8" s="38" t="str">
        <x:v>PRD-339; PRD-341</x:v>
      </x:c>
      <x:c r="F8" s="38" t="inlineStr">
        <x:is>
          <x:t>Partial</x:t>
        </x:is>
      </x:c>
      <x:c r="G8" s="38" t="inlineStr">
        <x:is>
          <x:t>IN REVIEW (PR #397)</x:t>
        </x:is>
      </x:c>
      <x:c r="H8" s="38" t="str">
        <x:v>P0</x:v>
      </x:c>
      <x:c r="I8" s="38" t="n">
        <x:v>5</x:v>
      </x:c>
      <x:c r="J8" s="38" t="n">
        <x:v>5</x:v>
      </x:c>
      <x:c r="K8" s="38" t="n">
        <x:v>3</x:v>
      </x:c>
      <x:c r="L8" s="39">
        <x:v>0.8</x:v>
      </x:c>
      <x:c r="M8" s="38" t="n">
        <x:f>IF(H8="P0",4,IF(H8="P1",3,IF(H8="P2",2,1)))*I8*J8</x:f>
        <x:v>100</x:v>
      </x:c>
      <x:c r="N8" s="40" t="n">
        <x:f>M8*L8</x:f>
        <x:v>0</x:v>
      </x:c>
      <x:c r="O8" s="38" t="str">
        <x:v>Unassigned</x:v>
      </x:c>
      <x:c r="P8" s="38" t="str">
        <x:v>Camera Pipeline</x:v>
      </x:c>
      <x:c r="Q8" s="38" t="inlineStr">
        <x:is>
          <x:t>Merge PR #397 after its template visual A/B (runbook row C1), then confirm the 10-stop settle on develop.</x:t>
        </x:is>
      </x:c>
      <x:c r="R8" s="38" t="str">
        <x:v>Bad luminance metric or slow adaptation can make exposure intermittently wrong.</x:v>
      </x:c>
      <x:c r="S8" s="38" t="str">
        <x:v>10-stop scene changes remain readable with bounded settle time and no clipping/black crush regression.</x:v>
      </x:c>
      <x:c r="T8" s="38" t="inlineStr">
        <x:is>
          <x:t>https://github.com/ThreeNativeHQ/threenative/blob/main/docs/PRDs/rendering/PRD-339-the-frame-sets-its-own-exposure.md</x:t>
        </x:is>
      </x:c>
      <x:c r="U8" s="41">
        <x:v>46298</x:v>
      </x:c>
      <x:c r="V8" s="38" t="str">
        <x:v>The PRD itself calls this the largest look difference between a Three.js scene and a shipped game.</x:v>
      </x:c>
    </x:row>
    <x:row r="9" ht="62" customHeight="1">
      <x:c r="A9" s="38" t="str">
        <x:v>G05</x:v>
      </x:c>
      <x:c r="B9" s="38" t="str">
        <x:v>Objective tone / visual-quality regression gates</x:v>
      </x:c>
      <x:c r="C9" s="38" t="str">
        <x:v>Production engine look is protected by automated image/tone tests and reference captures.</x:v>
      </x:c>
      <x:c r="D9" s="38" t="inlineStr">
        <x:is>
          <x:t>assert.tone ships (PRD-341 done); world-scale gate pnpm visuals:world (same-pose + pop series, blind judges) merged in #390, its own red/green on a known-bad build pending (PRD-477 Phase 1).</x:t>
        </x:is>
      </x:c>
      <x:c r="E9" s="38" t="str">
        <x:v>PRD-341</x:v>
      </x:c>
      <x:c r="F9" s="38" t="inlineStr">
        <x:is>
          <x:t>Partial</x:t>
        </x:is>
      </x:c>
      <x:c r="G9" s="38" t="inlineStr">
        <x:is>
          <x:t>PRD-341 DONE; PRD-477 P1 open</x:t>
        </x:is>
      </x:c>
      <x:c r="H9" s="38" t="str">
        <x:v>P0</x:v>
      </x:c>
      <x:c r="I9" s="38" t="n">
        <x:v>4</x:v>
      </x:c>
      <x:c r="J9" s="38" t="n">
        <x:v>4</x:v>
      </x:c>
      <x:c r="K9" s="38" t="n">
        <x:v>2</x:v>
      </x:c>
      <x:c r="L9" s="39">
        <x:v>0.7</x:v>
      </x:c>
      <x:c r="M9" s="38" t="n">
        <x:f>IF(H9="P0",4,IF(H9="P1",3,IF(H9="P2",2,1)))*I9*J9</x:f>
        <x:v>64</x:v>
      </x:c>
      <x:c r="N9" s="40" t="n">
        <x:f>M9*L9</x:f>
        <x:v>0</x:v>
      </x:c>
      <x:c r="O9" s="38" t="str">
        <x:v>Unassigned</x:v>
      </x:c>
      <x:c r="P9" s="38" t="str">
        <x:v>Quality Gates</x:v>
      </x:c>
      <x:c r="Q9" s="38" t="inlineStr">
        <x:is>
          <x:t>Red/green the world gate on the impostors-on build (runbook row A2), then require it on every world change.</x:t>
        </x:is>
      </x:c>
      <x:c r="R9" s="38" t="str">
        <x:v>Without numeric gates, later rendering work can regress while screenshots still look subjectively acceptable.</x:v>
      </x:c>
      <x:c r="S9" s="38" t="str">
        <x:v>AAA-look PRDs fail closed on measurable tone regressions; before/after evidence is reproducible.</x:v>
      </x:c>
      <x:c r="T9" s="38" t="inlineStr">
        <x:is>
          <x:t>https://github.com/ThreeNativeHQ/threenative/blob/main/docs/PRDs/done/PRD-341-a-frames-tone-is-a-number-and-the-number-is-a-gate.md</x:t>
        </x:is>
      </x:c>
      <x:c r="U9" s="41">
        <x:v>46298</x:v>
      </x:c>
      <x:c r="V9" s="38" t="str">
        <x:v>This is enabling infrastructure for most visual work.</x:v>
      </x:c>
    </x:row>
    <x:row r="10" ht="62" customHeight="1">
      <x:c r="A10" s="38" t="str">
        <x:v>G06</x:v>
      </x:c>
      <x:c r="B10" s="38" t="str">
        <x:v>Dynamic reflections with off-screen fallback</x:v>
      </x:c>
      <x:c r="C10" s="38" t="str">
        <x:v>Lumen reflections combine scene-aware reflection data with robust fallbacks.</x:v>
      </x:c>
      <x:c r="D10" s="38" t="str">
        <x:v>IBL/environment reflections ship. SSR capability exists upstream, but a coherent dynamic/off-screen reflection stack is not the default.</x:v>
      </x:c>
      <x:c r="E10" s="38" t="str">
        <x:v>PRD-267; PRD-268; PRD-307</x:v>
      </x:c>
      <x:c r="F10" s="38" t="str">
        <x:v>Partial</x:v>
      </x:c>
      <x:c r="G10" s="38" t="str">
        <x:v>MIXED / PRD-307 REFUTED</x:v>
      </x:c>
      <x:c r="H10" s="38" t="str">
        <x:v>P1</x:v>
      </x:c>
      <x:c r="I10" s="38" t="n">
        <x:v>4</x:v>
      </x:c>
      <x:c r="J10" s="38" t="n">
        <x:v>4</x:v>
      </x:c>
      <x:c r="K10" s="38" t="n">
        <x:v>4</x:v>
      </x:c>
      <x:c r="L10" s="39" t="n">
        <x:v>0.35</x:v>
      </x:c>
      <x:c r="M10" s="38" t="n">
        <x:f>IF(H10="P0",4,IF(H10="P1",3,IF(H10="P2",2,1)))*I10*J10</x:f>
        <x:v>48</x:v>
      </x:c>
      <x:c r="N10" s="40" t="n">
        <x:f>M10*L10</x:f>
        <x:v>16.799999999999997</x:v>
      </x:c>
      <x:c r="O10" s="38" t="str">
        <x:v>Unassigned</x:v>
      </x:c>
      <x:c r="P10" s="38" t="str">
        <x:v>AAA Lighting</x:v>
      </x:c>
      <x:c r="Q10" s="38" t="str">
        <x:v>Ship SSR + denoise/temporal stability, then reuse the G01 world-space representation as the off-screen fallback.</x:v>
      </x:c>
      <x:c r="R10" s="38" t="str">
        <x:v>SSR blind spots; avoid creating a second unrelated world representation just for reflections.</x:v>
      </x:c>
      <x:c r="S10" s="38" t="str">
        <x:v>Moving/local objects reflect when visible; off-screen content has a stable fallback; roughness response remains correct.</x:v>
      </x:c>
      <x:c r="T10" s="38" t="str">
        <x:v>https://github.com/ThreeNativeHQ/threenative/blob/main/docs/PRDs/done/PRD-307-reflections-are-prefiltered-before-the-game-ships.md</x:v>
      </x:c>
      <x:c r="U10" s="41" t="n">
        <x:v>46297</x:v>
      </x:c>
      <x:c r="V10" s="38" t="str">
        <x:v>PRD-307's build-time prefilter idea was refuted; runtime IBL fallback remains.</x:v>
      </x:c>
    </x:row>
    <x:row r="11" ht="62" customHeight="1">
      <x:c r="A11" s="38" t="str">
        <x:v>G07</x:v>
      </x:c>
      <x:c r="B11" s="38" t="str">
        <x:v>Virtual shadows: sparse page scaling and local-light boundary</x:v>
      </x:c>
      <x:c r="C11" s="38" t="str">
        <x:v>Virtual Shadow Maps page only needed shadow texels and scale to dense geometry and moving lights.</x:v>
      </x:c>
      <x:c r="D11" s="38" t="str">
        <x:v>VirtualShadowNode already ships camera-centered clip levels, static caching, mover maps and invalidation. Sparse page rendering is not admitted yet.</x:v>
      </x:c>
      <x:c r="E11" s="38" t="str">
        <x:v>PRD-457</x:v>
      </x:c>
      <x:c r="F11" s="38" t="str">
        <x:v>Partial</x:v>
      </x:c>
      <x:c r="G11" s="38" t="str">
        <x:v>PROPOSED</x:v>
      </x:c>
      <x:c r="H11" s="38" t="str">
        <x:v>P1</x:v>
      </x:c>
      <x:c r="I11" s="38" t="n">
        <x:v>3</x:v>
      </x:c>
      <x:c r="J11" s="38" t="n">
        <x:v>4</x:v>
      </x:c>
      <x:c r="K11" s="38" t="n">
        <x:v>4</x:v>
      </x:c>
      <x:c r="L11" s="39" t="n">
        <x:v>0.65</x:v>
      </x:c>
      <x:c r="M11" s="38" t="n">
        <x:f>IF(H11="P0",4,IF(H11="P1",3,IF(H11="P2",2,1)))*I11*J11</x:f>
        <x:v>36</x:v>
      </x:c>
      <x:c r="N11" s="40" t="n">
        <x:f>M11*L11</x:f>
        <x:v>23.400000000000002</x:v>
      </x:c>
      <x:c r="O11" s="38" t="str">
        <x:v>Unassigned</x:v>
      </x:c>
      <x:c r="P11" s="38" t="str">
        <x:v>Shadows</x:v>
      </x:c>
      <x:c r="Q11" s="38" t="str">
        <x:v>Run PRD-457 Phase 1 cost census; enable sparse pages only where measured cheaper than cached clip levels.</x:v>
      </x:c>
      <x:c r="R11" s="38" t="str">
        <x:v>Sparse pages can multiply scene traversals and be slower than cached clipmaps.</x:v>
      </x:c>
      <x:c r="S11" s="38" t="str">
        <x:v>Shadow p95 drops on admitted workloads with bounded visual error; fallback remains valid when paging loses.</x:v>
      </x:c>
      <x:c r="T11" s="38" t="str">
        <x:v>https://github.com/ThreeNativeHQ/threenative/blob/main/docs/PRDs/unreal-like-features/PRD-457-virtual-shadows-scale-by-measurement.md</x:v>
      </x:c>
      <x:c r="U11" s="41" t="n">
        <x:v>46297</x:v>
      </x:c>
      <x:c r="V11" s="38" t="str">
        <x:v>This gap is much smaller than GI: the current shadow path is already advanced.</x:v>
      </x:c>
    </x:row>
    <x:row r="12" ht="62" customHeight="1">
      <x:c r="A12" s="38" t="str">
        <x:v>G08</x:v>
      </x:c>
      <x:c r="B12" s="38" t="str">
        <x:v>Contact occlusion / small-scale grounding</x:v>
      </x:c>
      <x:c r="C12" s="38" t="str">
        <x:v>Contact shadows, AO and GI occlusion ground assembled detail at multiple scales.</x:v>
      </x:c>
      <x:c r="D12" s="38" t="str">
        <x:v>GTAO/denoise ships in the default look; geometry-baked contact occlusion is not shipped.</x:v>
      </x:c>
      <x:c r="E12" s="38" t="str">
        <x:v>PRD-344; PRD-470</x:v>
      </x:c>
      <x:c r="F12" s="38" t="str">
        <x:v>Partial</x:v>
      </x:c>
      <x:c r="G12" s="38" t="str">
        <x:v>PROPOSED + DONE baseline</x:v>
      </x:c>
      <x:c r="H12" s="38" t="str">
        <x:v>P1</x:v>
      </x:c>
      <x:c r="I12" s="38" t="n">
        <x:v>3</x:v>
      </x:c>
      <x:c r="J12" s="38" t="n">
        <x:v>4</x:v>
      </x:c>
      <x:c r="K12" s="38" t="n">
        <x:v>3</x:v>
      </x:c>
      <x:c r="L12" s="39" t="n">
        <x:v>0.35</x:v>
      </x:c>
      <x:c r="M12" s="38" t="n">
        <x:f>IF(H12="P0",4,IF(H12="P1",3,IF(H12="P2",2,1)))*I12*J12</x:f>
        <x:v>36</x:v>
      </x:c>
      <x:c r="N12" s="40" t="n">
        <x:f>M12*L12</x:f>
        <x:v>12.6</x:v>
      </x:c>
      <x:c r="O12" s="38" t="str">
        <x:v>Unassigned</x:v>
      </x:c>
      <x:c r="P12" s="38" t="str">
        <x:v>AAA Materials</x:v>
      </x:c>
      <x:c r="Q12" s="38" t="str">
        <x:v>Execute PRD-344 so assembled geometry retains crease/contact cues even when screen-space AO is reduced or disabled.</x:v>
      </x:c>
      <x:c r="R12" s="38" t="str">
        <x:v>Must remain deterministic, cheap at runtime and consistent across merged parts.</x:v>
      </x:c>
      <x:c r="S12" s="38" t="str">
        <x:v>Creases read darker than open plates across quality tiers; no per-frame bake cost.</x:v>
      </x:c>
      <x:c r="T12" s="38" t="str">
        <x:v>https://github.com/ThreeNativeHQ/threenative/blob/main/docs/PRDs/AAA-visuals/PRD-344-contact-occlusion-baked-from-the-geometry-it-ships-with.md</x:v>
      </x:c>
      <x:c r="U12" s="41" t="n">
        <x:v>46297</x:v>
      </x:c>
      <x:c r="V12" s="38" t="str">
        <x:v>Complements GTAO rather than replacing it.</x:v>
      </x:c>
    </x:row>
    <x:row r="13" ht="62" customHeight="1">
      <x:c r="A13" s="38" t="str">
        <x:v>G09</x:v>
      </x:c>
      <x:c r="B13" s="38" t="str">
        <x:v>Backlight grazing response and dark-environment fill</x:v>
      </x:c>
      <x:c r="C13" s="38" t="str">
        <x:v>Characters/props retain readable edge and ambient response in backlit or dark-environment shots.</x:v>
      </x:c>
      <x:c r="D13" s="38" t="str">
        <x:v>Environment IBL ships, but grazing wrap/fallback ambient for near-black environments is not default.</x:v>
      </x:c>
      <x:c r="E13" s="38" t="str">
        <x:v>PRD-345</x:v>
      </x:c>
      <x:c r="F13" s="38" t="str">
        <x:v>Proposed</x:v>
      </x:c>
      <x:c r="G13" s="38" t="str">
        <x:v>PROPOSED</x:v>
      </x:c>
      <x:c r="H13" s="38" t="str">
        <x:v>P1</x:v>
      </x:c>
      <x:c r="I13" s="38" t="n">
        <x:v>3</x:v>
      </x:c>
      <x:c r="J13" s="38" t="n">
        <x:v>4</x:v>
      </x:c>
      <x:c r="K13" s="38" t="n">
        <x:v>2</x:v>
      </x:c>
      <x:c r="L13" s="39" t="n">
        <x:v>0.35</x:v>
      </x:c>
      <x:c r="M13" s="38" t="n">
        <x:f>IF(H13="P0",4,IF(H13="P1",3,IF(H13="P2",2,1)))*I13*J13</x:f>
        <x:v>36</x:v>
      </x:c>
      <x:c r="N13" s="40" t="n">
        <x:f>M13*L13</x:f>
        <x:v>12.6</x:v>
      </x:c>
      <x:c r="O13" s="38" t="str">
        <x:v>Unassigned</x:v>
      </x:c>
      <x:c r="P13" s="38" t="str">
        <x:v>AAA Materials</x:v>
      </x:c>
      <x:c r="Q13" s="38" t="str">
        <x:v>Execute PRD-345 in template lighting/material source and add environment-contribution diagnostics.</x:v>
      </x:c>
      <x:c r="R13" s="38" t="str">
        <x:v>Look decision must stay in generated source; avoid framework-owned artistic constants.</x:v>
      </x:c>
      <x:c r="S13" s="38" t="str">
        <x:v>Backlit subject preserves a measurable lit limb; dark IBL is detected and compensated by authored fill.</x:v>
      </x:c>
      <x:c r="T13" s="38" t="str">
        <x:v>https://github.com/ThreeNativeHQ/threenative/blob/main/docs/PRDs/AAA-visuals/PRD-345-a-backlit-subject-is-not-a-hole-in-the-sky.md</x:v>
      </x:c>
      <x:c r="U13" s="41" t="n">
        <x:v>46297</x:v>
      </x:c>
      <x:c r="V13" s="38" t="str"/>
    </x:row>
    <x:row r="14" ht="62" customHeight="1">
      <x:c r="A14" s="38" t="str">
        <x:v>G10</x:v>
      </x:c>
      <x:c r="B14" s="38" t="str">
        <x:v>Atmosphere and aerial perspective parity</x:v>
      </x:c>
      <x:c r="C14" s="38" t="str">
        <x:v>Sky Atmosphere, aerial perspective and environment systems integrate consistently across targets.</x:v>
      </x:c>
      <x:c r="D14" s="38" t="str">
        <x:v>Atmosphere LUT system shipped on web; native/device lanes remain explicitly unverified.</x:v>
      </x:c>
      <x:c r="E14" s="38" t="str">
        <x:v>PRD-248</x:v>
      </x:c>
      <x:c r="F14" s="38" t="str">
        <x:v>Partial</x:v>
      </x:c>
      <x:c r="G14" s="38" t="str">
        <x:v>DONE (web) / native unverified</x:v>
      </x:c>
      <x:c r="H14" s="38" t="str">
        <x:v>P1</x:v>
      </x:c>
      <x:c r="I14" s="38" t="n">
        <x:v>3</x:v>
      </x:c>
      <x:c r="J14" s="38" t="n">
        <x:v>4</x:v>
      </x:c>
      <x:c r="K14" s="38" t="n">
        <x:v>3</x:v>
      </x:c>
      <x:c r="L14" s="39" t="n">
        <x:v>0.7</x:v>
      </x:c>
      <x:c r="M14" s="38" t="n">
        <x:f>IF(H14="P0",4,IF(H14="P1",3,IF(H14="P2",2,1)))*I14*J14</x:f>
        <x:v>36</x:v>
      </x:c>
      <x:c r="N14" s="40" t="n">
        <x:f>M14*L14</x:f>
        <x:v>25.2</x:v>
      </x:c>
      <x:c r="O14" s="38" t="str">
        <x:v>Unassigned</x:v>
      </x:c>
      <x:c r="P14" s="38" t="str">
        <x:v>Environment</x:v>
      </x:c>
      <x:c r="Q14" s="38" t="str">
        <x:v>Run native conformance/device evidence for atmosphere LUT bake and aerial perspective; fix parity defects.</x:v>
      </x:c>
      <x:c r="R14" s="38" t="str">
        <x:v>Web-only completion is insufficient for ThreeNative's native-first promise.</x:v>
      </x:c>
      <x:c r="S14" s="38" t="str">
        <x:v>Same authored atmosphere produces equivalent browser/desktop/mobile visual result within pinned tolerance.</x:v>
      </x:c>
      <x:c r="T14" s="38" t="str">
        <x:v>https://github.com/ThreeNativeHQ/threenative/blob/main/docs/PRDs/done/PRD-248-the-atmosphere-is-luts-the-sky-is-the-games.md</x:v>
      </x:c>
      <x:c r="U14" s="41" t="n">
        <x:v>46297</x:v>
      </x:c>
      <x:c r="V14" s="38" t="str"/>
    </x:row>
    <x:row r="15" ht="62" customHeight="1">
      <x:c r="A15" s="38" t="str">
        <x:v>G11</x:v>
      </x:c>
      <x:c r="B15" s="38" t="str">
        <x:v>Volumetric fog + cloud integration</x:v>
      </x:c>
      <x:c r="C15" s="38" t="str">
        <x:v>Volumetric fog/clouds participate in lighting, atmosphere, depth, exposure and temporal reconstruction as one environment stack.</x:v>
      </x:c>
      <x:c r="D15" s="38" t="inlineStr">
        <x:is>
          <x:t>Bounded depth-correct volumetric fog is implemented on PR #399 (prd:100%, open, awaiting merge); cloud integration is not.</x:t>
        </x:is>
      </x:c>
      <x:c r="E15" s="38" t="inlineStr">
        <x:is>
          <x:t>PRD-VQ-07 (related: PRD-248)</x:t>
        </x:is>
      </x:c>
      <x:c r="F15" s="38" t="inlineStr">
        <x:is>
          <x:t>Partial</x:t>
        </x:is>
      </x:c>
      <x:c r="G15" s="38" t="inlineStr">
        <x:is>
          <x:t>IN REVIEW (PR #399)</x:t>
        </x:is>
      </x:c>
      <x:c r="H15" s="38" t="str">
        <x:v>P1</x:v>
      </x:c>
      <x:c r="I15" s="38" t="n">
        <x:v>4</x:v>
      </x:c>
      <x:c r="J15" s="38" t="n">
        <x:v>4</x:v>
      </x:c>
      <x:c r="K15" s="38" t="n">
        <x:v>5</x:v>
      </x:c>
      <x:c r="L15" s="39">
        <x:v>0.4</x:v>
      </x:c>
      <x:c r="M15" s="38" t="n">
        <x:f>IF(H15="P0",4,IF(H15="P1",3,IF(H15="P2",2,1)))*I15*J15</x:f>
        <x:v>48</x:v>
      </x:c>
      <x:c r="N15" s="40" t="n">
        <x:f>M15*L15</x:f>
        <x:v>9.600000000000001</x:v>
      </x:c>
      <x:c r="O15" s="38" t="str">
        <x:v>Unassigned</x:v>
      </x:c>
      <x:c r="P15" s="38" t="str">
        <x:v>Environment</x:v>
      </x:c>
      <x:c r="Q15" s="38" t="inlineStr">
        <x:is>
          <x:t>Merge PR #399, then scope cloud composition and native parity on top of VQ-07.</x:t>
        </x:is>
      </x:c>
      <x:c r="R15" s="38" t="str">
        <x:v>Large GPU cost and ordering interactions with GI, exposure and temporal reconstruction.</x:v>
      </x:c>
      <x:c r="S15" s="38" t="str">
        <x:v>Volumetrics are stable in motion, light-aware, quality-tiered and native-parity with bounded GPU p95.</x:v>
      </x:c>
      <x:c r="T15" s="38" t="inlineStr">
        <x:is>
          <x:t>https://github.com/ThreeNativeHQ/threenative/blob/main/docs/PRDs/rendering/PRD-VQ-07-volumetric-fog.md</x:t>
        </x:is>
      </x:c>
      <x:c r="U15" s="41">
        <x:v>46298</x:v>
      </x:c>
      <x:c r="V15" s="38" t="str">
        <x:v>Deliberately tracked as a gap even without a dedicated PRD.</x:v>
      </x:c>
    </x:row>
    <x:row r="16" ht="62" customHeight="1">
      <x:c r="A16" s="38" t="str">
        <x:v>G12</x:v>
      </x:c>
      <x:c r="B16" s="38" t="str">
        <x:v>HDR emissives and sub-pixel light cues</x:v>
      </x:c>
      <x:c r="C16" s="38" t="str">
        <x:v>Tiny emissive/light cues remain visible and enter the HDR/tonemap pipeline at meaningful energy levels.</x:v>
      </x:c>
      <x:c r="D16" s="38" t="str">
        <x:v>No minimum-pixel light mechanism or explicit shared emissive authoring scale is shipped.</x:v>
      </x:c>
      <x:c r="E16" s="38" t="str">
        <x:v>PRD-343</x:v>
      </x:c>
      <x:c r="F16" s="38" t="str">
        <x:v>Not Started</x:v>
      </x:c>
      <x:c r="G16" s="38" t="str">
        <x:v>PROPOSED</x:v>
      </x:c>
      <x:c r="H16" s="38" t="str">
        <x:v>P2</x:v>
      </x:c>
      <x:c r="I16" s="38" t="n">
        <x:v>3</x:v>
      </x:c>
      <x:c r="J16" s="38" t="n">
        <x:v>3</x:v>
      </x:c>
      <x:c r="K16" s="38" t="n">
        <x:v>2</x:v>
      </x:c>
      <x:c r="L16" s="39" t="n">
        <x:v>0.1</x:v>
      </x:c>
      <x:c r="M16" s="38" t="n">
        <x:f>IF(H16="P0",4,IF(H16="P1",3,IF(H16="P2",2,1)))*I16*J16</x:f>
        <x:v>18</x:v>
      </x:c>
      <x:c r="N16" s="40" t="n">
        <x:f>M16*L16</x:f>
        <x:v>1.8</x:v>
      </x:c>
      <x:c r="O16" s="38" t="str">
        <x:v>Unassigned</x:v>
      </x:c>
      <x:c r="P16" s="38" t="str">
        <x:v>AAA Materials</x:v>
      </x:c>
      <x:c r="Q16" s="38" t="str">
        <x:v>Execute PRD-343: minimum-pixel billboard behavior + HDR authoring scale/report.</x:v>
      </x:c>
      <x:c r="R16" s="38" t="str">
        <x:v>Easy to over-bloom or break physical size if minimum-pixel behavior is not depth-aware.</x:v>
      </x:c>
      <x:c r="S16" s="38" t="str">
        <x:v>Distant beacons remain readable without changing physical object scale; emissive values hit the intended white point.</x:v>
      </x:c>
      <x:c r="T16" s="38" t="str">
        <x:v>https://github.com/ThreeNativeHQ/threenative/blob/main/docs/PRDs/AAA-visuals/PRD-343-a-light-smaller-than-a-pixel-is-still-a-light.md</x:v>
      </x:c>
      <x:c r="U16" s="41" t="n">
        <x:v>46297</x:v>
      </x:c>
      <x:c r="V16" s="38" t="str"/>
    </x:row>
    <x:row r="17" ht="62" customHeight="1">
      <x:c r="A17" s="38" t="str">
        <x:v>G13</x:v>
      </x:c>
      <x:c r="B17" s="38" t="str">
        <x:v>Advanced material/shading breadth</x:v>
      </x:c>
      <x:c r="C17" s="38" t="str">
        <x:v>Clear coat, anisotropy, transmission, SSS, hair/skin and specialized shading are production-ready and integrated with lighting/post.</x:v>
      </x:c>
      <x:c r="D17" s="38" t="str">
        <x:v>Strong standard PBR baseline through Three.js, but advanced shading/default integration is not tracked as a coherent parity program.</x:v>
      </x:c>
      <x:c r="E17" s="38" t="str">
        <x:v>TBD (audit required)</x:v>
      </x:c>
      <x:c r="F17" s="38" t="str">
        <x:v>Needs PRD</x:v>
      </x:c>
      <x:c r="G17" s="38" t="str">
        <x:v>TBD</x:v>
      </x:c>
      <x:c r="H17" s="38" t="str">
        <x:v>P2</x:v>
      </x:c>
      <x:c r="I17" s="38" t="n">
        <x:v>3</x:v>
      </x:c>
      <x:c r="J17" s="38" t="n">
        <x:v>3</x:v>
      </x:c>
      <x:c r="K17" s="38" t="n">
        <x:v>4</x:v>
      </x:c>
      <x:c r="L17" s="39" t="n">
        <x:v>0.4</x:v>
      </x:c>
      <x:c r="M17" s="38" t="n">
        <x:f>IF(H17="P0",4,IF(H17="P1",3,IF(H17="P2",2,1)))*I17*J17</x:f>
        <x:v>18</x:v>
      </x:c>
      <x:c r="N17" s="40" t="n">
        <x:f>M17*L17</x:f>
        <x:v>7.2</x:v>
      </x:c>
      <x:c r="O17" s="38" t="str">
        <x:v>Unassigned</x:v>
      </x:c>
      <x:c r="P17" s="38" t="str">
        <x:v>AAA Materials</x:v>
      </x:c>
      <x:c r="Q17" s="38" t="str">
        <x:v>Audit existing TSL/WebGPU material features, identify native gaps, and create only the PRDs that require framework work.</x:v>
      </x:c>
      <x:c r="R17" s="38" t="str">
        <x:v>Risk of duplicating upstream Three.js features or creating framework-owned look decisions.</x:v>
      </x:c>
      <x:c r="S17" s="38" t="str">
        <x:v>High-value shading models run on browser/native and integrate correctly with shadows, GI, reflections and temporal effects.</x:v>
      </x:c>
      <x:c r="T17" s="38" t="str">
        <x:v>https://github.com/ThreeNativeHQ/threenative/blob/main/docs/PRDs/lighting/README.md</x:v>
      </x:c>
      <x:c r="U17" s="41" t="n">
        <x:v>46297</x:v>
      </x:c>
      <x:c r="V17" s="38" t="str">
        <x:v>Do the audit before implementing.</x:v>
      </x:c>
    </x:row>
    <x:row r="18" ht="62" customHeight="1">
      <x:c r="A18" s="38" t="str">
        <x:v>G14</x:v>
      </x:c>
      <x:c r="B18" s="38" t="str">
        <x:v>Virtual geometry / Nanite-like scalability</x:v>
      </x:c>
      <x:c r="C18" s="38" t="str">
        <x:v>Nanite provides highly scalable virtualized geometry with robust streaming and efficient submission.</x:v>
      </x:c>
      <x:c r="D18" s="38" t="str">
        <x:v>Cluster-DAG virtual geometry is shipped and on by default on browser; native currently has a measured regression and higher draw count.</x:v>
      </x:c>
      <x:c r="E18" s="38" t="str">
        <x:v>PRD-279–285 batch</x:v>
      </x:c>
      <x:c r="F18" s="38" t="str">
        <x:v>Partial</x:v>
      </x:c>
      <x:c r="G18" s="38" t="str">
        <x:v>SHIPPED / native regression</x:v>
      </x:c>
      <x:c r="H18" s="38" t="str">
        <x:v>P2</x:v>
      </x:c>
      <x:c r="I18" s="38" t="n">
        <x:v>3</x:v>
      </x:c>
      <x:c r="J18" s="38" t="n">
        <x:v>3</x:v>
      </x:c>
      <x:c r="K18" s="38" t="n">
        <x:v>4</x:v>
      </x:c>
      <x:c r="L18" s="39" t="n">
        <x:v>0.8</x:v>
      </x:c>
      <x:c r="M18" s="38" t="n">
        <x:f>IF(H18="P0",4,IF(H18="P1",3,IF(H18="P2",2,1)))*I18*J18</x:f>
        <x:v>18</x:v>
      </x:c>
      <x:c r="N18" s="40" t="n">
        <x:f>M18*L18</x:f>
        <x:v>14.4</x:v>
      </x:c>
      <x:c r="O18" s="38" t="str">
        <x:v>Unassigned</x:v>
      </x:c>
      <x:c r="P18" s="38" t="str">
        <x:v>Geometry</x:v>
      </x:c>
      <x:c r="Q18" s="38" t="str">
        <x:v>Close native arrival/draw regression only if it remains material on representative scenes; measure mobile before expanding scope.</x:v>
      </x:c>
      <x:c r="R18" s="38" t="str">
        <x:v>Browser win does not translate automatically to native; 89 draws vs 10 and arrival hitch are known issues.</x:v>
      </x:c>
      <x:c r="S18" s="38" t="str">
        <x:v>Native virtual path beats or matches decimated baseline on representative dense scenes without arrival hitch.</x:v>
      </x:c>
      <x:c r="T18" s="38" t="str">
        <x:v>https://github.com/ThreeNativeHQ/threenative/blob/main/docs/PRDs/done/nanite-like/README.md</x:v>
      </x:c>
      <x:c r="U18" s="41" t="n">
        <x:v>46297</x:v>
      </x:c>
      <x:c r="V18" s="38" t="str">
        <x:v>Substantial capability already exists; this is no longer a greenfield gap.</x:v>
      </x:c>
    </x:row>
    <x:row r="19" ht="62" customHeight="1">
      <x:c r="A19" s="38" t="str">
        <x:v>G15</x:v>
      </x:c>
      <x:c r="B19" s="38" t="str">
        <x:v>GPU-driven culling and indirect submission</x:v>
      </x:c>
      <x:c r="C19" s="38" t="str">
        <x:v>Modern AAA renderers move visibility and submission work to the GPU to sustain dense scenes with low CPU draw overhead.</x:v>
      </x:c>
      <x:c r="D19" s="38" t="inlineStr">
        <x:is>
          <x:t>GPU scene compute culling and indirect draws ship for streamed worlds (PRD-473 Phase 1, #375); PRD-386's own mobile/native/per-material gates are open.</x:t>
        </x:is>
      </x:c>
      <x:c r="E19" s="38" t="str">
        <x:v>PRD-386</x:v>
      </x:c>
      <x:c r="F19" s="38" t="inlineStr">
        <x:is>
          <x:t>Partial</x:t>
        </x:is>
      </x:c>
      <x:c r="G19" s="38" t="inlineStr">
        <x:is>
          <x:t>PARTIAL</x:t>
        </x:is>
      </x:c>
      <x:c r="H19" s="38" t="str">
        <x:v>P1</x:v>
      </x:c>
      <x:c r="I19" s="38" t="n">
        <x:v>3</x:v>
      </x:c>
      <x:c r="J19" s="38" t="n">
        <x:v>3</x:v>
      </x:c>
      <x:c r="K19" s="38" t="n">
        <x:v>5</x:v>
      </x:c>
      <x:c r="L19" s="39">
        <x:v>0.5</x:v>
      </x:c>
      <x:c r="M19" s="38" t="n">
        <x:f>IF(H19="P0",4,IF(H19="P1",3,IF(H19="P2",2,1)))*I19*J19</x:f>
        <x:v>27</x:v>
      </x:c>
      <x:c r="N19" s="40" t="n">
        <x:f>M19*L19</x:f>
        <x:v>0</x:v>
      </x:c>
      <x:c r="O19" s="38" t="str">
        <x:v>Unassigned</x:v>
      </x:c>
      <x:c r="P19" s="38" t="str">
        <x:v>Rendering Performance</x:v>
      </x:c>
      <x:c r="Q19" s="38" t="inlineStr">
        <x:is>
          <x:t>Close PRD-386's gates; main-pass draw cost is runbook row A4 (PRD-494).</x:t>
        </x:is>
      </x:c>
      <x:c r="R19" s="38" t="str">
        <x:v>High cross-runtime complexity; indirect path must prove native correctness and real CPU-term reduction.</x:v>
      </x:c>
      <x:c r="S19" s="38" t="str">
        <x:v>Per-object CPU submission term materially drops with no visible-geometry mismatch and native parity.</x:v>
      </x:c>
      <x:c r="T19" s="38" t="str">
        <x:v>https://github.com/ThreeNativeHQ/threenative/blob/main/docs/PRDs/performance/critical/PRD-386-gpu-driven-rendering-compute-culling-and-indirect-draws.md</x:v>
      </x:c>
      <x:c r="U19" s="41">
        <x:v>46298</x:v>
      </x:c>
      <x:c r="V19" s="38" t="str">
        <x:v>Primarily an enabler for visual density rather than a direct look feature.</x:v>
      </x:c>
    </x:row>
    <x:row r="20" ht="62" customHeight="1">
      <x:c r="A20" s="38" t="str">
        <x:v>G16</x:v>
      </x:c>
      <x:c r="B20" s="38" t="str">
        <x:v>Projected-size culling as an engine default</x:v>
      </x:c>
      <x:c r="C20" s="38" t="str">
        <x:v>Objects below resolvable pixel size are aggressively culled/LOD'd by engine-level visibility systems.</x:v>
      </x:c>
      <x:c r="D20" s="38" t="inlineStr">
        <x:is>
          <x:t>Render-camera projected-size culling ships (render-camera-cull, #263, 8c182343f); PRD-390's measured gates are unticked.</x:t>
        </x:is>
      </x:c>
      <x:c r="E20" s="38" t="str">
        <x:v>PRD-390</x:v>
      </x:c>
      <x:c r="F20" s="38" t="inlineStr">
        <x:is>
          <x:t>Partial</x:t>
        </x:is>
      </x:c>
      <x:c r="G20" s="38" t="inlineStr">
        <x:is>
          <x:t>PARTIAL</x:t>
        </x:is>
      </x:c>
      <x:c r="H20" s="38" t="str">
        <x:v>P1</x:v>
      </x:c>
      <x:c r="I20" s="38" t="n">
        <x:v>3</x:v>
      </x:c>
      <x:c r="J20" s="38" t="n">
        <x:v>3</x:v>
      </x:c>
      <x:c r="K20" s="38" t="n">
        <x:v>4</x:v>
      </x:c>
      <x:c r="L20" s="39">
        <x:v>0.5</x:v>
      </x:c>
      <x:c r="M20" s="38" t="n">
        <x:f>IF(H20="P0",4,IF(H20="P1",3,IF(H20="P2",2,1)))*I20*J20</x:f>
        <x:v>27</x:v>
      </x:c>
      <x:c r="N20" s="40" t="n">
        <x:f>M20*L20</x:f>
        <x:v>2.7</x:v>
      </x:c>
      <x:c r="O20" s="38" t="str">
        <x:v>Unassigned</x:v>
      </x:c>
      <x:c r="P20" s="38" t="str">
        <x:v>Rendering Performance</x:v>
      </x:c>
      <x:c r="Q20" s="38" t="inlineStr">
        <x:is>
          <x:t>Tick PRD-390's gates with the pixel-diff ladder on a representative scene.</x:t>
        </x:is>
      </x:c>
      <x:c r="R20" s="38" t="str">
        <x:v>Default changes what every game draws; must prove image equivalence at ordinary player views.</x:v>
      </x:c>
      <x:c r="S20" s="38" t="str">
        <x:v>Draws/triangles fall materially while player-view captures remain within pinned noise/tolerance.</x:v>
      </x:c>
      <x:c r="T20" s="38" t="str">
        <x:v>https://github.com/ThreeNativeHQ/threenative/blob/main/docs/PRDs/performance/critical/PRD-390-do-not-submit-what-the-render-camera-cannot-resolve.md</x:v>
      </x:c>
      <x:c r="U20" s="41">
        <x:v>46298</x:v>
      </x:c>
      <x:c r="V20" s="38" t="str"/>
    </x:row>
    <x:row r="21" ht="62" customHeight="1">
      <x:c r="A21" s="38" t="str">
        <x:v>G17</x:v>
      </x:c>
      <x:c r="B21" s="38" t="str">
        <x:v>Default first-frame presentation baseline</x:v>
      </x:c>
      <x:c r="C21" s="38" t="str">
        <x:v>A fresh project immediately has environment light, grounded shadows/AO, clean edges, filmic presentation and coherent sky/fog.</x:v>
      </x:c>
      <x:c r="D21" s="38" t="str">
        <x:v>PRD-470 shipped: photo sky as background/environment/fog, sun, VirtualShadowNode, GTAO/denoise, SMAA and improved templates.</x:v>
      </x:c>
      <x:c r="E21" s="38" t="str">
        <x:v>PRD-470</x:v>
      </x:c>
      <x:c r="F21" s="38" t="str">
        <x:v>Closed</x:v>
      </x:c>
      <x:c r="G21" s="38" t="str">
        <x:v>DONE</x:v>
      </x:c>
      <x:c r="H21" s="38" t="str">
        <x:v>P0</x:v>
      </x:c>
      <x:c r="I21" s="38" t="n">
        <x:v>1</x:v>
      </x:c>
      <x:c r="J21" s="38" t="n">
        <x:v>5</x:v>
      </x:c>
      <x:c r="K21" s="38" t="n">
        <x:v>3</x:v>
      </x:c>
      <x:c r="L21" s="39" t="n">
        <x:v>1</x:v>
      </x:c>
      <x:c r="M21" s="38" t="n">
        <x:f>IF(H21="P0",4,IF(H21="P1",3,IF(H21="P2",2,1)))*I21*J21</x:f>
        <x:v>20</x:v>
      </x:c>
      <x:c r="N21" s="40" t="n">
        <x:f>M21*L21</x:f>
        <x:v>20</x:v>
      </x:c>
      <x:c r="O21" s="38" t="str">
        <x:v>Unassigned</x:v>
      </x:c>
      <x:c r="P21" s="38" t="str">
        <x:v>Baseline</x:v>
      </x:c>
      <x:c r="Q21" s="38" t="str">
        <x:v>Protect the baseline with regression gates; do not spend priority on cosmetic re-tuning before higher-information lighting work.</x:v>
      </x:c>
      <x:c r="R21" s="38" t="str">
        <x:v>Risk is regression as GI/exposure/temporal stages are added.</x:v>
      </x:c>
      <x:c r="S21" s="38" t="str">
        <x:v>Fresh scaffold maintains or improves PRD-470 before/after visual bar with all template playtests green.</x:v>
      </x:c>
      <x:c r="T21" s="38" t="str">
        <x:v>https://github.com/ThreeNativeHQ/threenative/blob/main/docs/PRDs/done/PRD-470-the-default-look-reads-as-a-shipped-engine.md</x:v>
      </x:c>
      <x:c r="U21" s="41" t="n">
        <x:v>46297</x:v>
      </x:c>
      <x:c r="V21" s="38" t="str">
        <x:v>Closed baseline; included so the dashboard reflects work already completed.</x:v>
      </x:c>
    </x:row>
  </x:sheetData>
  <x:mergeCells>
    <x:mergeCell ref="A1:V1"/>
    <x:mergeCell ref="D2:V2"/>
  </x:mergeCells>
  <x:conditionalFormatting sqref="L5:L2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{F64489C1-86B6-89FF-EBCA-51D1F8BF4ECA}</x14:id>
        </x:ext>
      </x:extLst>
    </x:cfRule>
  </x:conditionalFormatting>
  <x:conditionalFormatting sqref="I5:I2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5:F21">
    <x:cfRule type="expression" dxfId="0" priority="3">
      <x:formula>F5="Closed"</x:formula>
    </x:cfRule>
    <x:cfRule type="expression" dxfId="1" priority="4">
      <x:formula>F5="Not Started"</x:formula>
    </x:cfRule>
    <x:cfRule type="expression" dxfId="2" priority="5">
      <x:formula>F5="Needs PRD"</x:formula>
    </x:cfRule>
  </x:conditionalFormatting>
  <x:dataValidations count="5">
    <x:dataValidation type="list" sqref="F5:F21">
      <x:formula1>"Closed,Partial,Proposed,Not Started,Needs PRD,Blocked"</x:formula1>
    </x:dataValidation>
    <x:dataValidation type="list" sqref="G5:G21">
      <x:formula1>"DONE,PROPOSED,NOT STARTED,MIXED / PRD-307 REFUTED,PROPOSED / prerequisite landed,DONE (web) / native unverified,SHIPPED / native regression,PROPOSED + DONE baseline,TBD"</x:formula1>
    </x:dataValidation>
    <x:dataValidation type="list" sqref="H5:H21">
      <x:formula1>"P0,P1,P2,P3"</x:formula1>
    </x:dataValidation>
    <x:dataValidation operator="between" sqref="I5:K21">
      <x:formula1>1</x:formula1>
      <x:formula2>5</x:formula2>
    </x:dataValidation>
    <x:dataValidation type="decimal" operator="between" sqref="L5:L2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f9112143bf8453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64489C1-86B6-89FF-EBCA-51D1F8BF4ECA}">
            <x14:dataBar gradient="1">
              <x14:cfvo type="min"/>
              <x14:cfvo type="max"/>
              <x14:fillColor rgb="FFA02B93"/>
            </x14:dataBar>
          </x14:cfRule>
          <xm:sqref>L5:L21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34" hidden="0" customWidth="1"/>
    <x:col min="4" max="4" width="18" hidden="0" customWidth="1"/>
    <x:col min="5" max="5" width="16" hidden="0" customWidth="1"/>
    <x:col min="6" max="6" width="48" hidden="0" customWidth="1"/>
    <x:col min="7" max="7" width="24" hidden="0" customWidth="1"/>
    <x:col min="8" max="8" width="42" hidden="0" customWidth="1"/>
    <x:col min="9" max="9" width="58" hidden="0" customWidth="1"/>
  </x:cols>
  <x:sheetData>
    <x:row r="1">
      <x:c r="A1" s="5" t="str">
        <x:v>PRD Register — Visual / Rendering Gap Program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20" t="str">
        <x:v>PRD</x:v>
      </x:c>
      <x:c r="B3" s="20" t="str">
        <x:v>Title</x:v>
      </x:c>
      <x:c r="C3" s="20" t="str">
        <x:v>Repo / observed status</x:v>
      </x:c>
      <x:c r="D3" s="20" t="str">
        <x:v>Area</x:v>
      </x:c>
      <x:c r="E3" s="20" t="str">
        <x:v>Gap IDs</x:v>
      </x:c>
      <x:c r="F3" s="20" t="str">
        <x:v>Observed reality</x:v>
      </x:c>
      <x:c r="G3" s="20" t="str">
        <x:v>Depends on</x:v>
      </x:c>
      <x:c r="H3" s="20" t="str">
        <x:v>Next check / action</x:v>
      </x:c>
      <x:c r="I3" s="20" t="str">
        <x:v>Source URL</x:v>
      </x:c>
    </x:row>
    <x:row r="4" ht="54" customHeight="1">
      <x:c r="A4" s="30" t="str">
        <x:v>PRD-245</x:v>
      </x:c>
      <x:c r="B4" s="30" t="str">
        <x:v>Indirect light is a node the game composites</x:v>
      </x:c>
      <x:c r="C4" s="30" t="str">
        <x:v>PROPOSED</x:v>
      </x:c>
      <x:c r="D4" s="30" t="str">
        <x:v>GI</x:v>
      </x:c>
      <x:c r="E4" s="30" t="str">
        <x:v>G01</x:v>
      </x:c>
      <x:c r="F4" s="30" t="str">
        <x:v>Surfel GI; unexecuted design</x:v>
      </x:c>
      <x:c r="G4" s="30" t="str">
        <x:v>PRD-242; PRD-244</x:v>
      </x:c>
      <x:c r="H4" s="30" t="str">
        <x:v>Prototype/measure world-space GI path</x:v>
      </x:c>
      <x:c r="I4" s="30" t="str">
        <x:v>https://github.com/ThreeNativeHQ/threenative/blob/main/docs/PRDs/feature-mining/HIGH/PRD-245-indirect-light-is-a-node-the-game-composites.md</x:v>
      </x:c>
    </x:row>
    <x:row r="5" ht="54" customHeight="1">
      <x:c r="A5" s="30" t="str">
        <x:v>PRD-248</x:v>
      </x:c>
      <x:c r="B5" s="30" t="str">
        <x:v>The atmosphere is LUTs; the sky is the game's</x:v>
      </x:c>
      <x:c r="C5" s="30" t="str">
        <x:v>DONE (web); native/device unverified</x:v>
      </x:c>
      <x:c r="D5" s="30" t="str">
        <x:v>Atmosphere</x:v>
      </x:c>
      <x:c r="E5" s="30" t="str">
        <x:v>G10,G11</x:v>
      </x:c>
      <x:c r="F5" s="30" t="str">
        <x:v>Web mechanism shipped</x:v>
      </x:c>
      <x:c r="G5" s="30" t="str">
        <x:v>IComputeDriven</x:v>
      </x:c>
      <x:c r="H5" s="30" t="str">
        <x:v>Run native/device parity evidence</x:v>
      </x:c>
      <x:c r="I5" s="30" t="str">
        <x:v>https://github.com/ThreeNativeHQ/threenative/blob/main/docs/PRDs/done/PRD-248-the-atmosphere-is-luts-the-sky-is-the-games.md</x:v>
      </x:c>
    </x:row>
    <x:row r="6" ht="54" customHeight="1">
      <x:c r="A6" s="30" t="str">
        <x:v>PRD-256</x:v>
      </x:c>
      <x:c r="B6" s="30" t="str">
        <x:v>Static light is a standard baked asset</x:v>
      </x:c>
      <x:c r="C6" s="30" t="str">
        <x:v>DONE</x:v>
      </x:c>
      <x:c r="D6" s="30" t="str">
        <x:v>Lighting</x:v>
      </x:c>
      <x:c r="E6" s="30" t="str"/>
      <x:c r="F6" s="30" t="str">
        <x:v>Static baked-light path shipped</x:v>
      </x:c>
      <x:c r="G6" s="30" t="str"/>
      <x:c r="H6" s="30" t="str">
        <x:v>Keep as fallback / low-end option</x:v>
      </x:c>
      <x:c r="I6" s="30" t="str">
        <x:v>https://github.com/ThreeNativeHQ/threenative/blob/main/docs/PRDs/done/PRD-256-static-light-is-a-standard-baked-asset.md</x:v>
      </x:c>
    </x:row>
    <x:row r="7" ht="54" customHeight="1">
      <x:c r="A7" s="30" t="str">
        <x:v>PRD-266</x:v>
      </x:c>
      <x:c r="B7" s="30" t="str">
        <x:v>Render chain names the tier it actually ran</x:v>
      </x:c>
      <x:c r="C7" s="30" t="str">
        <x:v>PROPOSED / narrowed ruling</x:v>
      </x:c>
      <x:c r="D7" s="30" t="str">
        <x:v>Render chain</x:v>
      </x:c>
      <x:c r="E7" s="30" t="str">
        <x:v>G02</x:v>
      </x:c>
      <x:c r="F7" s="30" t="str">
        <x:v>Core composer rejected; narrower capability/budget/report seam allowed</x:v>
      </x:c>
      <x:c r="G7" s="30" t="str"/>
      <x:c r="H7" s="30" t="str">
        <x:v>Use generated-source composition; keep core seam narrow</x:v>
      </x:c>
      <x:c r="I7" s="30" t="str">
        <x:v>https://github.com/ThreeNativeHQ/threenative/blob/main/docs/PRDs/useful-defaults/PRD-266-the-render-chain-names-the-tier-it-actually-ran.md</x:v>
      </x:c>
    </x:row>
    <x:row r="8" ht="54" customHeight="1">
      <x:c r="A8" s="30" t="str">
        <x:v>PRD-267</x:v>
      </x:c>
      <x:c r="B8" s="30" t="str">
        <x:v>Screen-space GI, reflections and denoiser ship in templates</x:v>
      </x:c>
      <x:c r="C8" s="30" t="str">
        <x:v>PROPOSED</x:v>
      </x:c>
      <x:c r="D8" s="30" t="str">
        <x:v>GI / reflections</x:v>
      </x:c>
      <x:c r="E8" s="30" t="str">
        <x:v>G02,G06</x:v>
      </x:c>
      <x:c r="F8" s="30" t="str">
        <x:v>Upstream TSL nodes available; template wiring missing</x:v>
      </x:c>
      <x:c r="G8" s="30" t="str">
        <x:v>PRD-266</x:v>
      </x:c>
      <x:c r="H8" s="30" t="str">
        <x:v>Execute in generated render source</x:v>
      </x:c>
      <x:c r="I8" s="30" t="str">
        <x:v>https://github.com/ThreeNativeHQ/threenative/blob/main/docs/PRDs/useful-defaults/PRD-267-screen-space-gi-ships-in-the-templates.md</x:v>
      </x:c>
    </x:row>
    <x:row r="9" ht="54" customHeight="1">
      <x:c r="A9" s="30" t="str">
        <x:v>PRD-268</x:v>
      </x:c>
      <x:c r="B9" s="30" t="str">
        <x:v>Light that comes from off-screen</x:v>
      </x:c>
      <x:c r="C9" s="30" t="str">
        <x:v>PROPOSED</x:v>
      </x:c>
      <x:c r="D9" s="30" t="str">
        <x:v>GI</x:v>
      </x:c>
      <x:c r="E9" s="30" t="str">
        <x:v>G01,G06</x:v>
      </x:c>
      <x:c r="F9" s="30" t="str">
        <x:v>Irradiance probe volume WebGPU port</x:v>
      </x:c>
      <x:c r="G9" s="30" t="str">
        <x:v>PRD-266; judged after PRD-269</x:v>
      </x:c>
      <x:c r="H9" s="30" t="str">
        <x:v>Prototype representative interior + native path</x:v>
      </x:c>
      <x:c r="I9" s="30" t="str">
        <x:v>https://github.com/ThreeNativeHQ/threenative/blob/main/docs/PRDs/lighting/PRD-268-light-that-comes-from-off-screen.md</x:v>
      </x:c>
    </x:row>
    <x:row r="10" ht="54" customHeight="1">
      <x:c r="A10" s="30" t="str">
        <x:v>PRD-269</x:v>
      </x:c>
      <x:c r="B10" s="30" t="str">
        <x:v>Motion vectors for skinned and instanced geometry</x:v>
      </x:c>
      <x:c r="C10" s="30" t="str">
        <x:v>FILE SAYS PROPOSED; implementation reported landed by PRD-455</x:v>
      </x:c>
      <x:c r="D10" s="30" t="str">
        <x:v>Temporal</x:v>
      </x:c>
      <x:c r="E10" s="30" t="str">
        <x:v>G03</x:v>
      </x:c>
      <x:c r="F10" s="30" t="str">
        <x:v>Status inconsistency to clean up</x:v>
      </x:c>
      <x:c r="G10" s="30" t="str">
        <x:v>PRD-266</x:v>
      </x:c>
      <x:c r="H10" s="30" t="str">
        <x:v>Reconcile markdown status with landed commit 3630847a</x:v>
      </x:c>
      <x:c r="I10" s="30" t="str">
        <x:v>https://github.com/ThreeNativeHQ/threenative/blob/main/docs/PRDs/lighting/PRD-269-motion-vectors-or-the-temporal-filters-lie.md</x:v>
      </x:c>
    </x:row>
    <x:row r="11" ht="54" customHeight="1">
      <x:c r="A11" s="30" t="str">
        <x:v>PRD-307</x:v>
      </x:c>
      <x:c r="B11" s="30" t="str">
        <x:v>Reflections are prefiltered before the game ships</x:v>
      </x:c>
      <x:c r="C11" s="30" t="str">
        <x:v>REFUTED</x:v>
      </x:c>
      <x:c r="D11" s="30" t="str">
        <x:v>Reflections</x:v>
      </x:c>
      <x:c r="E11" s="30" t="str">
        <x:v>G06</x:v>
      </x:c>
      <x:c r="F11" s="30" t="str">
        <x:v>Runtime PMREM fallback retained; proposed frame-time win not proven</x:v>
      </x:c>
      <x:c r="G11" s="30" t="str"/>
      <x:c r="H11" s="30" t="str">
        <x:v>Do not revive without new evidence</x:v>
      </x:c>
      <x:c r="I11" s="30" t="str">
        <x:v>https://github.com/ThreeNativeHQ/threenative/blob/main/docs/PRDs/done/PRD-307-reflections-are-prefiltered-before-the-game-ships.md</x:v>
      </x:c>
    </x:row>
    <x:row r="12" ht="54" customHeight="1">
      <x:c r="A12" s="30" t="str">
        <x:v>PRD-339</x:v>
      </x:c>
      <x:c r="B12" s="30" t="str">
        <x:v>The frame sets its own exposure</x:v>
      </x:c>
      <x:c r="C12" s="30" t="str">
        <x:v>PROPOSED</x:v>
      </x:c>
      <x:c r="D12" s="30" t="str">
        <x:v>Exposure</x:v>
      </x:c>
      <x:c r="E12" s="30" t="str">
        <x:v>G04</x:v>
      </x:c>
      <x:c r="F12" s="30" t="str">
        <x:v>Auto exposure absent today</x:v>
      </x:c>
      <x:c r="G12" s="30" t="str">
        <x:v>PRD-341</x:v>
      </x:c>
      <x:c r="H12" s="30" t="str">
        <x:v>Land after tone gate</x:v>
      </x:c>
      <x:c r="I12" s="30" t="str">
        <x:v>https://github.com/ThreeNativeHQ/threenative/blob/main/docs/PRDs/AAA-visuals/PRD-339-the-frame-sets-its-own-exposure.md</x:v>
      </x:c>
    </x:row>
    <x:row r="13" ht="54" customHeight="1">
      <x:c r="A13" s="30" t="str">
        <x:v>PRD-341</x:v>
      </x:c>
      <x:c r="B13" s="30" t="str">
        <x:v>A frame's tone is a number and a gate</x:v>
      </x:c>
      <x:c r="C13" s="30" t="str">
        <x:v>PROPOSED</x:v>
      </x:c>
      <x:c r="D13" s="30" t="str">
        <x:v>Quality gate</x:v>
      </x:c>
      <x:c r="E13" s="30" t="str">
        <x:v>G04,G05</x:v>
      </x:c>
      <x:c r="F13" s="30" t="str">
        <x:v>Required to judge exposure/look PRDs objectively</x:v>
      </x:c>
      <x:c r="G13" s="30" t="str"/>
      <x:c r="H13" s="30" t="str">
        <x:v>Land first in AAA visuals batch</x:v>
      </x:c>
      <x:c r="I13" s="30" t="str">
        <x:v>https://github.com/ThreeNativeHQ/threenative/blob/main/docs/PRDs/AAA-visuals/PRD-341-a-frames-tone-is-a-number-and-the-number-is-a-gate.md</x:v>
      </x:c>
    </x:row>
    <x:row r="14" ht="54" customHeight="1">
      <x:c r="A14" s="30" t="str">
        <x:v>PRD-343</x:v>
      </x:c>
      <x:c r="B14" s="30" t="str">
        <x:v>A light smaller than a pixel is still a light</x:v>
      </x:c>
      <x:c r="C14" s="30" t="str">
        <x:v>PROPOSED</x:v>
      </x:c>
      <x:c r="D14" s="30" t="str">
        <x:v>HDR / emissives</x:v>
      </x:c>
      <x:c r="E14" s="30" t="str">
        <x:v>G12</x:v>
      </x:c>
      <x:c r="F14" s="30" t="str">
        <x:v>Minimum-pixel cue + HDR authoring scale</x:v>
      </x:c>
      <x:c r="G14" s="30" t="str">
        <x:v>PRD-341</x:v>
      </x:c>
      <x:c r="H14" s="30" t="str">
        <x:v>Execute after higher-priority camera/GI work</x:v>
      </x:c>
      <x:c r="I14" s="30" t="str">
        <x:v>https://github.com/ThreeNativeHQ/threenative/blob/main/docs/PRDs/AAA-visuals/PRD-343-a-light-smaller-than-a-pixel-is-still-a-light.md</x:v>
      </x:c>
    </x:row>
    <x:row r="15" ht="54" customHeight="1">
      <x:c r="A15" s="30" t="str">
        <x:v>PRD-344</x:v>
      </x:c>
      <x:c r="B15" s="30" t="str">
        <x:v>Contact occlusion baked from shipped geometry</x:v>
      </x:c>
      <x:c r="C15" s="30" t="str">
        <x:v>PROPOSED</x:v>
      </x:c>
      <x:c r="D15" s="30" t="str">
        <x:v>AO / materials</x:v>
      </x:c>
      <x:c r="E15" s="30" t="str">
        <x:v>G08</x:v>
      </x:c>
      <x:c r="F15" s="30" t="str">
        <x:v>Complement to GTAO; tier-independent baked crease cue</x:v>
      </x:c>
      <x:c r="G15" s="30" t="str"/>
      <x:c r="H15" s="30" t="str">
        <x:v>Execute as medium-cost visual-quality win</x:v>
      </x:c>
      <x:c r="I15" s="30" t="str">
        <x:v>https://github.com/ThreeNativeHQ/threenative/blob/main/docs/PRDs/AAA-visuals/PRD-344-contact-occlusion-baked-from-the-geometry-it-ships-with.md</x:v>
      </x:c>
    </x:row>
    <x:row r="16" ht="54" customHeight="1">
      <x:c r="A16" s="30" t="str">
        <x:v>PRD-345</x:v>
      </x:c>
      <x:c r="B16" s="30" t="str">
        <x:v>A backlit subject is not a hole in the sky</x:v>
      </x:c>
      <x:c r="C16" s="30" t="str">
        <x:v>PROPOSED</x:v>
      </x:c>
      <x:c r="D16" s="30" t="str">
        <x:v>Materials / lighting</x:v>
      </x:c>
      <x:c r="E16" s="30" t="str">
        <x:v>G09</x:v>
      </x:c>
      <x:c r="F16" s="30" t="str">
        <x:v>Grazing wrap + dark-environment fill/report</x:v>
      </x:c>
      <x:c r="G16" s="30" t="str"/>
      <x:c r="H16" s="30" t="str">
        <x:v>Implement in generated lighting/material source</x:v>
      </x:c>
      <x:c r="I16" s="30" t="str">
        <x:v>https://github.com/ThreeNativeHQ/threenative/blob/main/docs/PRDs/AAA-visuals/PRD-345-a-backlit-subject-is-not-a-hole-in-the-sky.md</x:v>
      </x:c>
    </x:row>
    <x:row r="17" ht="54" customHeight="1">
      <x:c r="A17" s="30" t="str">
        <x:v>PRD-386</x:v>
      </x:c>
      <x:c r="B17" s="30" t="str">
        <x:v>GPU-driven rendering: compute culling and indirect draws</x:v>
      </x:c>
      <x:c r="C17" s="30" t="str">
        <x:v>NOT STARTED</x:v>
      </x:c>
      <x:c r="D17" s="30" t="str">
        <x:v>Performance</x:v>
      </x:c>
      <x:c r="E17" s="30" t="str">
        <x:v>G15</x:v>
      </x:c>
      <x:c r="F17" s="30" t="str">
        <x:v>Specification only</x:v>
      </x:c>
      <x:c r="G17" s="30" t="str"/>
      <x:c r="H17" s="30" t="str">
        <x:v>Start when CPU draw term blocks representative content</x:v>
      </x:c>
      <x:c r="I17" s="30" t="str">
        <x:v>https://github.com/ThreeNativeHQ/threenative/blob/main/docs/PRDs/performance/critical/PRD-386-gpu-driven-rendering-compute-culling-and-indirect-draws.md</x:v>
      </x:c>
    </x:row>
    <x:row r="18" ht="54" customHeight="1">
      <x:c r="A18" s="30" t="str">
        <x:v>PRD-390</x:v>
      </x:c>
      <x:c r="B18" s="30" t="str">
        <x:v>Do not submit what the render camera cannot resolve</x:v>
      </x:c>
      <x:c r="C18" s="30" t="str">
        <x:v>NOT STARTED</x:v>
      </x:c>
      <x:c r="D18" s="30" t="str">
        <x:v>Performance</x:v>
      </x:c>
      <x:c r="E18" s="30" t="str">
        <x:v>G16</x:v>
      </x:c>
      <x:c r="F18" s="30" t="str">
        <x:v>Specification only; game-level measurements already strong</x:v>
      </x:c>
      <x:c r="G18" s="30" t="str"/>
      <x:c r="H18" s="30" t="str">
        <x:v>Land conservative pixel-size engine default</x:v>
      </x:c>
      <x:c r="I18" s="30" t="str">
        <x:v>https://github.com/ThreeNativeHQ/threenative/blob/main/docs/PRDs/performance/critical/PRD-390-do-not-submit-what-the-render-camera-cannot-resolve.md</x:v>
      </x:c>
    </x:row>
    <x:row r="19" ht="54" customHeight="1">
      <x:c r="A19" s="30" t="str">
        <x:v>PRD-455</x:v>
      </x:c>
      <x:c r="B19" s="30" t="str">
        <x:v>Temporal reconstruction from dynamic resolution</x:v>
      </x:c>
      <x:c r="C19" s="30" t="str">
        <x:v>PROPOSED</x:v>
      </x:c>
      <x:c r="D19" s="30" t="str">
        <x:v>Temporal</x:v>
      </x:c>
      <x:c r="E19" s="30" t="str">
        <x:v>G03</x:v>
      </x:c>
      <x:c r="F19" s="30" t="str">
        <x:v>Prerequisites largely present</x:v>
      </x:c>
      <x:c r="G19" s="30" t="str">
        <x:v>PRD-269; PRD-384</x:v>
      </x:c>
      <x:c r="H19" s="30" t="str">
        <x:v>Execute history-correctness phase</x:v>
      </x:c>
      <x:c r="I19" s="30" t="str">
        <x:v>https://github.com/ThreeNativeHQ/threenative/blob/main/docs/PRDs/unreal-like-features/PRD-455-temporal-reconstruction-from-dynamic-resolution.md</x:v>
      </x:c>
    </x:row>
    <x:row r="20" ht="54" customHeight="1">
      <x:c r="A20" s="30" t="str">
        <x:v>PRD-457</x:v>
      </x:c>
      <x:c r="B20" s="30" t="str">
        <x:v>Virtual shadows scale by measurement</x:v>
      </x:c>
      <x:c r="C20" s="30" t="str">
        <x:v>PROPOSED</x:v>
      </x:c>
      <x:c r="D20" s="30" t="str">
        <x:v>Shadows</x:v>
      </x:c>
      <x:c r="E20" s="30" t="str">
        <x:v>G07</x:v>
      </x:c>
      <x:c r="F20" s="30" t="str">
        <x:v>VirtualShadowNode exists; sparse page admission not shipped</x:v>
      </x:c>
      <x:c r="G20" s="30" t="str"/>
      <x:c r="H20" s="30" t="str">
        <x:v>Run cost census before enabling sparse page renderer</x:v>
      </x:c>
      <x:c r="I20" s="30" t="str">
        <x:v>https://github.com/ThreeNativeHQ/threenative/blob/main/docs/PRDs/unreal-like-features/PRD-457-virtual-shadows-scale-by-measurement.md</x:v>
      </x:c>
    </x:row>
    <x:row r="21" ht="54" customHeight="1">
      <x:c r="A21" s="30" t="str">
        <x:v>PRD-470</x:v>
      </x:c>
      <x:c r="B21" s="30" t="str">
        <x:v>The default look reads as a shipped engine</x:v>
      </x:c>
      <x:c r="C21" s="30" t="str">
        <x:v>DONE</x:v>
      </x:c>
      <x:c r="D21" s="30" t="str">
        <x:v>Baseline look</x:v>
      </x:c>
      <x:c r="E21" s="30" t="str">
        <x:v>G17,G08</x:v>
      </x:c>
      <x:c r="F21" s="30" t="str">
        <x:v>Environment IBL + photo sky + fog + VirtualShadow + GTAO + SMAA shipped</x:v>
      </x:c>
      <x:c r="G21" s="30" t="str"/>
      <x:c r="H21" s="30" t="str">
        <x:v>Protect with regression gates</x:v>
      </x:c>
      <x:c r="I21" s="30" t="str">
        <x:v>https://github.com/ThreeNativeHQ/threenative/blob/main/docs/PRDs/done/PRD-470-the-default-look-reads-as-a-shipped-engine.md</x:v>
      </x:c>
    </x:row>
    <x:row r="22" ht="54" customHeight="1">
      <x:c r="A22" s="30" t="str">
        <x:v>PRD-279–285</x:v>
      </x:c>
      <x:c r="B22" s="30" t="str">
        <x:v>Nanite-like virtual geometry batch</x:v>
      </x:c>
      <x:c r="C22" s="30" t="str">
        <x:v>SHIPPED / native regression</x:v>
      </x:c>
      <x:c r="D22" s="30" t="str">
        <x:v>Geometry</x:v>
      </x:c>
      <x:c r="E22" s="30" t="str">
        <x:v>G14</x:v>
      </x:c>
      <x:c r="F22" s="30" t="str">
        <x:v>On by default on browser; native regression remains</x:v>
      </x:c>
      <x:c r="G22" s="30" t="str"/>
      <x:c r="H22" s="30" t="str">
        <x:v>Only optimize further against representative native measurements</x:v>
      </x:c>
      <x:c r="I22" s="30" t="str">
        <x:v>https://github.com/ThreeNativeHQ/threenative/blob/main/docs/PRDs/done/nanite-like/README.md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6ea655b36bd4b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16" hidden="0" customWidth="1"/>
    <x:col min="4" max="4" width="18" hidden="0" customWidth="1"/>
    <x:col min="5" max="5" width="18" hidden="0" customWidth="1"/>
    <x:col min="6" max="6" width="48" hidden="0" customWidth="1"/>
  </x:cols>
  <x:sheetData>
    <x:row r="1">
      <x:c r="A1" s="5" t="str">
        <x:v>How to Use This Tracker</x:v>
      </x:c>
      <x:c r="B1" s="5"/>
      <x:c r="C1" s="5"/>
      <x:c r="D1" s="5"/>
      <x:c r="E1" s="5"/>
      <x:c r="F1" s="5"/>
    </x:row>
    <x:row r="3">
      <x:c r="A3" s="20" t="str">
        <x:v>Field</x:v>
      </x:c>
      <x:c r="B3" s="20" t="str">
        <x:v>Meaning</x:v>
      </x:c>
      <x:c r="C3" s="20" t="str">
        <x:v>1 / Low</x:v>
      </x:c>
      <x:c r="D3" s="20" t="str">
        <x:v>3 / Medium</x:v>
      </x:c>
      <x:c r="E3" s="20" t="str">
        <x:v>5 / High</x:v>
      </x:c>
      <x:c r="F3" s="20" t="str">
        <x:v>Notes</x:v>
      </x:c>
    </x:row>
    <x:row r="4">
      <x:c r="A4" s="30" t="str">
        <x:v>Priority</x:v>
      </x:c>
      <x:c r="B4" s="30" t="str">
        <x:v>Execution order</x:v>
      </x:c>
      <x:c r="C4" s="30" t="str">
        <x:v>P3</x:v>
      </x:c>
      <x:c r="D4" s="30" t="str">
        <x:v>P1/P2</x:v>
      </x:c>
      <x:c r="E4" s="30" t="str">
        <x:v>P0</x:v>
      </x:c>
      <x:c r="F4" s="30" t="str">
        <x:v>Priority is explicit; it is not calculated.</x:v>
      </x:c>
    </x:row>
    <x:row r="5">
      <x:c r="A5" s="30" t="str">
        <x:v>Gap severity</x:v>
      </x:c>
      <x:c r="B5" s="30" t="str">
        <x:v>How far ThreeNative is from the desired Unreal-class outcome</x:v>
      </x:c>
      <x:c r="C5" s="30" t="str">
        <x:v>Minor polish</x:v>
      </x:c>
      <x:c r="D5" s="30" t="str">
        <x:v>Meaningful missing behavior</x:v>
      </x:c>
      <x:c r="E5" s="30" t="str">
        <x:v>Fundamental missing capability</x:v>
      </x:c>
      <x:c r="F5" s="30" t="str">
        <x:v>Use current shipped behavior, not PRD ambition.</x:v>
      </x:c>
    </x:row>
    <x:row r="6">
      <x:c r="A6" s="30" t="str">
        <x:v>Visual impact</x:v>
      </x:c>
      <x:c r="B6" s="30" t="str">
        <x:v>How much the feature changes perceived shipped-game quality</x:v>
      </x:c>
      <x:c r="C6" s="30" t="str">
        <x:v>Hard to notice</x:v>
      </x:c>
      <x:c r="D6" s="30" t="str">
        <x:v>Noticeable</x:v>
      </x:c>
      <x:c r="E6" s="30" t="str">
        <x:v>Transformative</x:v>
      </x:c>
      <x:c r="F6" s="30" t="str">
        <x:v>This is the biggest weight in visual planning.</x:v>
      </x:c>
    </x:row>
    <x:row r="7">
      <x:c r="A7" s="30" t="str">
        <x:v>Effort</x:v>
      </x:c>
      <x:c r="B7" s="30" t="str">
        <x:v>Relative engineering complexity / integration risk</x:v>
      </x:c>
      <x:c r="C7" s="30" t="str">
        <x:v>Small</x:v>
      </x:c>
      <x:c r="D7" s="30" t="str">
        <x:v>Medium</x:v>
      </x:c>
      <x:c r="E7" s="30" t="str">
        <x:v>High / cross-runtime</x:v>
      </x:c>
      <x:c r="F7" s="30" t="str">
        <x:v>Use PRD evidence when available.</x:v>
      </x:c>
    </x:row>
    <x:row r="8">
      <x:c r="A8" s="30" t="str">
        <x:v>Progress</x:v>
      </x:c>
      <x:c r="B8" s="30" t="str">
        <x:v>Feature outcome completion</x:v>
      </x:c>
      <x:c r="C8" s="30" t="str">
        <x:v>0%</x:v>
      </x:c>
      <x:c r="D8" s="30" t="str">
        <x:v>50%</x:v>
      </x:c>
      <x:c r="E8" s="30" t="str">
        <x:v>100%</x:v>
      </x:c>
      <x:c r="F8" s="30" t="str">
        <x:v>Track the shipped outcome, not just code written.</x:v>
      </x:c>
    </x:row>
    <x:row r="9">
      <x:c r="A9" s="30" t="str">
        <x:v>Weight</x:v>
      </x:c>
      <x:c r="B9" s="30" t="str">
        <x:v>Dashboard weighting</x:v>
      </x:c>
      <x:c r="C9" s="30" t="str">
        <x:v>—</x:v>
      </x:c>
      <x:c r="D9" s="30" t="str">
        <x:v>—</x:v>
      </x:c>
      <x:c r="E9" s="30" t="str">
        <x:v>—</x:v>
      </x:c>
      <x:c r="F9" s="30" t="str">
        <x:v>Formula = priority factor × severity × visual impact.</x:v>
      </x:c>
    </x:row>
    <x:row r="10">
      <x:c r="A10" s="30" t="str">
        <x:v>Weighted progress</x:v>
      </x:c>
      <x:c r="B10" s="30" t="str">
        <x:v>Contribution to overall parity progress</x:v>
      </x:c>
      <x:c r="C10" s="30" t="str">
        <x:v>—</x:v>
      </x:c>
      <x:c r="D10" s="30" t="str">
        <x:v>—</x:v>
      </x:c>
      <x:c r="E10" s="30" t="str">
        <x:v>—</x:v>
      </x:c>
      <x:c r="F10" s="30" t="str">
        <x:v>Formula = Weight × Progress.</x:v>
      </x:c>
    </x:row>
    <x:row r="11">
      <x:c r="A11" s="30"/>
      <x:c r="B11" s="30"/>
      <x:c r="C11" s="30"/>
      <x:c r="D11" s="30"/>
      <x:c r="E11" s="30"/>
      <x:c r="F11" s="30"/>
    </x:row>
    <x:row r="12">
      <x:c r="A12" s="30"/>
      <x:c r="B12" s="30"/>
      <x:c r="C12" s="30"/>
      <x:c r="D12" s="30"/>
      <x:c r="E12" s="30"/>
      <x:c r="F12" s="30"/>
    </x:row>
    <x:row r="13">
      <x:c r="A13" s="20" t="str">
        <x:v>Status values</x:v>
      </x:c>
      <x:c r="B13" s="20" t="str">
        <x:v>PRD status values</x:v>
      </x:c>
      <x:c r="C13" s="20" t="str">
        <x:v>Priority values</x:v>
      </x:c>
      <x:c r="D13" s="30"/>
      <x:c r="E13" s="30"/>
      <x:c r="F13" s="30"/>
    </x:row>
    <x:row r="14">
      <x:c r="A14" s="30" t="str">
        <x:v>Closed</x:v>
      </x:c>
      <x:c r="B14" s="30" t="str">
        <x:v>DONE</x:v>
      </x:c>
      <x:c r="C14" s="30" t="str">
        <x:v>P0</x:v>
      </x:c>
      <x:c r="D14" s="30"/>
      <x:c r="E14" s="30"/>
      <x:c r="F14" s="30"/>
    </x:row>
    <x:row r="15">
      <x:c r="A15" s="30" t="str">
        <x:v>Partial</x:v>
      </x:c>
      <x:c r="B15" s="30" t="str">
        <x:v>PROPOSED</x:v>
      </x:c>
      <x:c r="C15" s="30" t="str">
        <x:v>P1</x:v>
      </x:c>
      <x:c r="D15" s="30"/>
      <x:c r="E15" s="30"/>
      <x:c r="F15" s="30"/>
    </x:row>
    <x:row r="16">
      <x:c r="A16" s="30" t="str">
        <x:v>Proposed</x:v>
      </x:c>
      <x:c r="B16" s="30" t="str">
        <x:v>NOT STARTED</x:v>
      </x:c>
      <x:c r="C16" s="30" t="str">
        <x:v>P2</x:v>
      </x:c>
      <x:c r="D16" s="30"/>
      <x:c r="E16" s="30"/>
      <x:c r="F16" s="30"/>
    </x:row>
    <x:row r="17">
      <x:c r="A17" s="30" t="str">
        <x:v>Not Started</x:v>
      </x:c>
      <x:c r="B17" s="30" t="str">
        <x:v>TBD</x:v>
      </x:c>
      <x:c r="C17" s="30" t="str">
        <x:v>P3</x:v>
      </x:c>
      <x:c r="D17" s="30"/>
      <x:c r="E17" s="30"/>
      <x:c r="F17" s="30"/>
    </x:row>
    <x:row r="18">
      <x:c r="A18" s="30" t="str">
        <x:v>Needs PRD</x:v>
      </x:c>
      <x:c r="B18" s="30" t="str">
        <x:v>REFUTED</x:v>
      </x:c>
      <x:c r="C18" s="30" t="str"/>
      <x:c r="D18" s="30"/>
      <x:c r="E18" s="30"/>
      <x:c r="F18" s="30"/>
    </x:row>
    <x:row r="19">
      <x:c r="A19" s="30" t="str">
        <x:v>Blocked</x:v>
      </x:c>
      <x:c r="B19" s="30" t="str">
        <x:v>MIXED</x:v>
      </x:c>
      <x:c r="C19" s="30" t="str"/>
      <x:c r="D19" s="30"/>
      <x:c r="E19" s="30"/>
      <x:c r="F19" s="30"/>
    </x:row>
  </x:sheetData>
  <x:mergeCells>
    <x:mergeCell ref="A1:F1"/>
  </x:mergeCells>
  <x:pageMargins left="0.7" right="0.7" top="0.75" bottom="0.75" header="0.3" footer="0.3"/>
</x:worksheet>
</file>